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66925"/>
  <mc:AlternateContent xmlns:mc="http://schemas.openxmlformats.org/markup-compatibility/2006">
    <mc:Choice Requires="x15">
      <x15ac:absPath xmlns:x15ac="http://schemas.microsoft.com/office/spreadsheetml/2010/11/ac" url="https://d.docs.live.net/1cfce836e5eedeee/Desktop/Data Analyst Course/Projects/FinancialModeling/"/>
    </mc:Choice>
  </mc:AlternateContent>
  <xr:revisionPtr revIDLastSave="25" documentId="8_{CD56998E-B72B-4306-B86F-642CB2F37ACD}" xr6:coauthVersionLast="47" xr6:coauthVersionMax="47" xr10:uidLastSave="{134051CC-9E04-4FA9-9E73-4D8A9313B009}"/>
  <bookViews>
    <workbookView xWindow="-108" yWindow="-108" windowWidth="23256" windowHeight="12816" xr2:uid="{00000000-000D-0000-FFFF-FFFF00000000}"/>
  </bookViews>
  <sheets>
    <sheet name="FinancialFunctions" sheetId="8" r:id="rId1"/>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4" i="8" l="1"/>
  <c r="E115" i="8"/>
  <c r="H128" i="8"/>
  <c r="F163" i="8"/>
  <c r="G161" i="8" s="1"/>
  <c r="G163" i="8" s="1"/>
  <c r="H161" i="8" s="1"/>
  <c r="H163" i="8" s="1"/>
  <c r="I161" i="8" s="1"/>
  <c r="I163" i="8" s="1"/>
  <c r="J161" i="8" s="1"/>
  <c r="J163" i="8" s="1"/>
  <c r="K161" i="8" s="1"/>
  <c r="K163" i="8" s="1"/>
  <c r="L161" i="8" s="1"/>
  <c r="L163" i="8" s="1"/>
  <c r="M161" i="8" s="1"/>
  <c r="M163" i="8" s="1"/>
  <c r="N161" i="8" s="1"/>
  <c r="N163" i="8" s="1"/>
  <c r="O161" i="8" s="1"/>
  <c r="O163" i="8" s="1"/>
  <c r="P161" i="8" s="1"/>
  <c r="P163" i="8" s="1"/>
  <c r="Q161" i="8" s="1"/>
  <c r="Q163" i="8" s="1"/>
  <c r="R161" i="8" s="1"/>
  <c r="R163" i="8" s="1"/>
  <c r="S161" i="8" s="1"/>
  <c r="S163" i="8" s="1"/>
  <c r="T161" i="8" s="1"/>
  <c r="T163" i="8" s="1"/>
  <c r="U161" i="8" s="1"/>
  <c r="U163" i="8" s="1"/>
  <c r="V161" i="8" s="1"/>
  <c r="V163" i="8" s="1"/>
  <c r="W161" i="8" s="1"/>
  <c r="W163" i="8" s="1"/>
  <c r="X161" i="8" s="1"/>
  <c r="X163" i="8" s="1"/>
  <c r="Y161" i="8" s="1"/>
  <c r="Y163" i="8" s="1"/>
  <c r="G162" i="8"/>
  <c r="H162" i="8"/>
  <c r="I162" i="8"/>
  <c r="J162" i="8"/>
  <c r="K162" i="8"/>
  <c r="L162" i="8"/>
  <c r="M162" i="8"/>
  <c r="N162" i="8"/>
  <c r="O162" i="8"/>
  <c r="P162" i="8"/>
  <c r="Q162" i="8"/>
  <c r="R162" i="8"/>
  <c r="S162" i="8"/>
  <c r="T162" i="8"/>
  <c r="U162" i="8"/>
  <c r="V162" i="8"/>
  <c r="W162" i="8"/>
  <c r="X162" i="8"/>
  <c r="Y162" i="8"/>
  <c r="F162" i="8"/>
  <c r="F161" i="8"/>
  <c r="G160" i="8"/>
  <c r="H160" i="8"/>
  <c r="I160" i="8"/>
  <c r="J160" i="8"/>
  <c r="K160" i="8"/>
  <c r="L160" i="8"/>
  <c r="M160" i="8"/>
  <c r="N160" i="8"/>
  <c r="O160" i="8"/>
  <c r="P160" i="8"/>
  <c r="Q160" i="8"/>
  <c r="R160" i="8"/>
  <c r="S160" i="8"/>
  <c r="T160" i="8"/>
  <c r="U160" i="8"/>
  <c r="V160" i="8"/>
  <c r="W160" i="8"/>
  <c r="X160" i="8"/>
  <c r="Y160" i="8"/>
  <c r="F160" i="8"/>
  <c r="F138" i="8"/>
  <c r="U138" i="8"/>
  <c r="V138" i="8"/>
  <c r="W138" i="8"/>
  <c r="X138" i="8"/>
  <c r="Y138" i="8"/>
  <c r="F137" i="8"/>
  <c r="E119" i="8"/>
  <c r="F26" i="8"/>
  <c r="F29" i="8" s="1"/>
  <c r="T11" i="8"/>
  <c r="S11" i="8"/>
  <c r="R11" i="8"/>
  <c r="Q11" i="8"/>
  <c r="P11" i="8"/>
  <c r="O11" i="8"/>
  <c r="N11" i="8"/>
  <c r="M11" i="8"/>
  <c r="L11" i="8"/>
  <c r="K11" i="8"/>
  <c r="J11" i="8"/>
  <c r="I11" i="8"/>
  <c r="H11" i="8"/>
  <c r="G11" i="8"/>
  <c r="F11" i="8"/>
  <c r="T10" i="8"/>
  <c r="S10" i="8"/>
  <c r="R10" i="8"/>
  <c r="Q10" i="8"/>
  <c r="P10" i="8"/>
  <c r="O10" i="8"/>
  <c r="N10" i="8"/>
  <c r="M10" i="8"/>
  <c r="L10" i="8"/>
  <c r="K10" i="8"/>
  <c r="J10" i="8"/>
  <c r="I10" i="8"/>
  <c r="H10" i="8"/>
  <c r="G10" i="8"/>
  <c r="F10" i="8"/>
  <c r="F151" i="8"/>
  <c r="F153" i="8" s="1"/>
  <c r="G150" i="8"/>
  <c r="H150" i="8" s="1"/>
  <c r="I150" i="8" s="1"/>
  <c r="J150" i="8" s="1"/>
  <c r="K150" i="8" s="1"/>
  <c r="L150" i="8" s="1"/>
  <c r="M150" i="8" s="1"/>
  <c r="N150" i="8" s="1"/>
  <c r="O150" i="8" s="1"/>
  <c r="P150" i="8" s="1"/>
  <c r="Q150" i="8" s="1"/>
  <c r="G136" i="8"/>
  <c r="G138" i="8" s="1"/>
  <c r="E87" i="8"/>
  <c r="E88" i="8"/>
  <c r="E89" i="8"/>
  <c r="E90" i="8"/>
  <c r="E91" i="8"/>
  <c r="E92" i="8"/>
  <c r="E93" i="8"/>
  <c r="E94" i="8"/>
  <c r="E95" i="8"/>
  <c r="E96" i="8"/>
  <c r="E97" i="8"/>
  <c r="E98" i="8"/>
  <c r="E99" i="8"/>
  <c r="E100" i="8"/>
  <c r="E101" i="8"/>
  <c r="E102" i="8"/>
  <c r="E103" i="8"/>
  <c r="E104" i="8"/>
  <c r="E105" i="8"/>
  <c r="E106" i="8"/>
  <c r="E107" i="8"/>
  <c r="E108" i="8"/>
  <c r="E109" i="8"/>
  <c r="E110" i="8"/>
  <c r="F86" i="8"/>
  <c r="C87" i="8" s="1"/>
  <c r="A29" i="8"/>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H28" i="8"/>
  <c r="C29" i="8" s="1"/>
  <c r="E29" i="8" s="1"/>
  <c r="A87" i="8"/>
  <c r="A88" i="8" s="1"/>
  <c r="A89" i="8" s="1"/>
  <c r="A90" i="8" s="1"/>
  <c r="A91" i="8" s="1"/>
  <c r="A92" i="8" s="1"/>
  <c r="A93" i="8" s="1"/>
  <c r="A94" i="8" s="1"/>
  <c r="A95" i="8" s="1"/>
  <c r="A96" i="8" s="1"/>
  <c r="A97" i="8" s="1"/>
  <c r="A98" i="8" s="1"/>
  <c r="A99" i="8" s="1"/>
  <c r="A100" i="8" s="1"/>
  <c r="A101" i="8" s="1"/>
  <c r="A102" i="8" s="1"/>
  <c r="A103" i="8" s="1"/>
  <c r="A104" i="8" s="1"/>
  <c r="A105" i="8" s="1"/>
  <c r="A106" i="8" s="1"/>
  <c r="A107" i="8" s="1"/>
  <c r="B87" i="8"/>
  <c r="G66" i="8"/>
  <c r="D66" i="8"/>
  <c r="B29" i="8"/>
  <c r="E118" i="8" l="1"/>
  <c r="F30" i="8"/>
  <c r="F31" i="8"/>
  <c r="F32" i="8"/>
  <c r="F33" i="8"/>
  <c r="F34" i="8"/>
  <c r="F35" i="8"/>
  <c r="F36" i="8"/>
  <c r="F37" i="8"/>
  <c r="F38" i="8"/>
  <c r="H29" i="8"/>
  <c r="C30" i="8" s="1"/>
  <c r="E30" i="8" s="1"/>
  <c r="H30" i="8" s="1"/>
  <c r="C31" i="8" s="1"/>
  <c r="E31" i="8" s="1"/>
  <c r="H136" i="8"/>
  <c r="H138" i="8" s="1"/>
  <c r="E112" i="8"/>
  <c r="D87" i="8"/>
  <c r="F87" i="8" s="1"/>
  <c r="C88" i="8" s="1"/>
  <c r="F139" i="8"/>
  <c r="F154" i="8"/>
  <c r="G151" i="8" s="1"/>
  <c r="G153" i="8" s="1"/>
  <c r="G154" i="8" s="1"/>
  <c r="H151" i="8" s="1"/>
  <c r="B88" i="8"/>
  <c r="B89" i="8" s="1"/>
  <c r="B90" i="8" s="1"/>
  <c r="B91" i="8" s="1"/>
  <c r="B92" i="8" s="1"/>
  <c r="B93" i="8" s="1"/>
  <c r="B94" i="8" s="1"/>
  <c r="B95" i="8" s="1"/>
  <c r="B96" i="8" s="1"/>
  <c r="B97" i="8" s="1"/>
  <c r="B98" i="8" s="1"/>
  <c r="B99" i="8" s="1"/>
  <c r="B100" i="8" s="1"/>
  <c r="B101" i="8" s="1"/>
  <c r="B102" i="8" s="1"/>
  <c r="B103" i="8" s="1"/>
  <c r="B104" i="8" s="1"/>
  <c r="B105" i="8" s="1"/>
  <c r="B106" i="8" s="1"/>
  <c r="B107" i="8" s="1"/>
  <c r="B108" i="8" s="1"/>
  <c r="B109" i="8" s="1"/>
  <c r="B110" i="8" s="1"/>
  <c r="R150" i="8"/>
  <c r="S150" i="8" s="1"/>
  <c r="T150" i="8" s="1"/>
  <c r="A57" i="8"/>
  <c r="A58" i="8" s="1"/>
  <c r="A59" i="8" s="1"/>
  <c r="A60" i="8" s="1"/>
  <c r="A61" i="8" s="1"/>
  <c r="A62" i="8" s="1"/>
  <c r="A63" i="8" s="1"/>
  <c r="A64" i="8" s="1"/>
  <c r="B30" i="8"/>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A108" i="8"/>
  <c r="A109" i="8" s="1"/>
  <c r="A110" i="8" s="1"/>
  <c r="D88" i="8" l="1"/>
  <c r="F88" i="8" s="1"/>
  <c r="C89" i="8" s="1"/>
  <c r="D89" i="8" s="1"/>
  <c r="I136" i="8"/>
  <c r="H153" i="8"/>
  <c r="H154" i="8" s="1"/>
  <c r="I151" i="8" s="1"/>
  <c r="I153" i="8" s="1"/>
  <c r="I154" i="8" s="1"/>
  <c r="J151" i="8" s="1"/>
  <c r="G137" i="8"/>
  <c r="G139" i="8" s="1"/>
  <c r="H137" i="8" s="1"/>
  <c r="H31" i="8"/>
  <c r="C32" i="8" s="1"/>
  <c r="E32" i="8" s="1"/>
  <c r="I138" i="8" l="1"/>
  <c r="J136" i="8"/>
  <c r="H139" i="8"/>
  <c r="I137" i="8" s="1"/>
  <c r="F89" i="8"/>
  <c r="C90" i="8" s="1"/>
  <c r="D90" i="8" s="1"/>
  <c r="J153" i="8"/>
  <c r="J154" i="8" s="1"/>
  <c r="K151" i="8" s="1"/>
  <c r="K153" i="8" s="1"/>
  <c r="K154" i="8" s="1"/>
  <c r="L151" i="8" s="1"/>
  <c r="H32" i="8"/>
  <c r="C33" i="8" s="1"/>
  <c r="E33" i="8" s="1"/>
  <c r="I139" i="8" l="1"/>
  <c r="J137" i="8" s="1"/>
  <c r="J138" i="8"/>
  <c r="K136" i="8"/>
  <c r="F90" i="8"/>
  <c r="C91" i="8" s="1"/>
  <c r="D91" i="8" s="1"/>
  <c r="F91" i="8" s="1"/>
  <c r="C92" i="8" s="1"/>
  <c r="D92" i="8" s="1"/>
  <c r="L153" i="8"/>
  <c r="L154" i="8" s="1"/>
  <c r="M151" i="8" s="1"/>
  <c r="H33" i="8"/>
  <c r="C34" i="8" s="1"/>
  <c r="E34" i="8" s="1"/>
  <c r="J139" i="8" l="1"/>
  <c r="K137" i="8" s="1"/>
  <c r="K138" i="8"/>
  <c r="L136" i="8"/>
  <c r="M153" i="8"/>
  <c r="M154" i="8" s="1"/>
  <c r="N151" i="8" s="1"/>
  <c r="H34" i="8"/>
  <c r="C35" i="8" s="1"/>
  <c r="E35" i="8" s="1"/>
  <c r="K139" i="8" l="1"/>
  <c r="L137" i="8" s="1"/>
  <c r="L138" i="8"/>
  <c r="M136" i="8"/>
  <c r="N153" i="8"/>
  <c r="F92" i="8"/>
  <c r="C93" i="8" s="1"/>
  <c r="D93" i="8" s="1"/>
  <c r="H35" i="8"/>
  <c r="C36" i="8" s="1"/>
  <c r="E36" i="8" s="1"/>
  <c r="L139" i="8" l="1"/>
  <c r="M137" i="8" s="1"/>
  <c r="M138" i="8"/>
  <c r="N136" i="8"/>
  <c r="N154" i="8"/>
  <c r="O151" i="8" s="1"/>
  <c r="F93" i="8"/>
  <c r="C94" i="8" s="1"/>
  <c r="D94" i="8" s="1"/>
  <c r="H36" i="8"/>
  <c r="C37" i="8" s="1"/>
  <c r="E37" i="8" s="1"/>
  <c r="M139" i="8" l="1"/>
  <c r="N137" i="8" s="1"/>
  <c r="O136" i="8"/>
  <c r="N138" i="8"/>
  <c r="O153" i="8"/>
  <c r="F94" i="8"/>
  <c r="C95" i="8" s="1"/>
  <c r="D95" i="8" s="1"/>
  <c r="H37" i="8"/>
  <c r="C38" i="8" s="1"/>
  <c r="N139" i="8" l="1"/>
  <c r="O137" i="8" s="1"/>
  <c r="O138" i="8"/>
  <c r="O139" i="8" s="1"/>
  <c r="P137" i="8" s="1"/>
  <c r="P136" i="8"/>
  <c r="E38" i="8"/>
  <c r="H38" i="8" s="1"/>
  <c r="C39" i="8" s="1"/>
  <c r="F39" i="8" s="1"/>
  <c r="O154" i="8"/>
  <c r="P151" i="8" s="1"/>
  <c r="F95" i="8"/>
  <c r="C96" i="8" s="1"/>
  <c r="D96" i="8" s="1"/>
  <c r="Q136" i="8" l="1"/>
  <c r="P138" i="8"/>
  <c r="P139" i="8" s="1"/>
  <c r="Q137" i="8" s="1"/>
  <c r="R136" i="8"/>
  <c r="Q138" i="8"/>
  <c r="E39" i="8"/>
  <c r="P153" i="8"/>
  <c r="P154" i="8" s="1"/>
  <c r="Q151" i="8" s="1"/>
  <c r="Q153" i="8" s="1"/>
  <c r="F96" i="8"/>
  <c r="C97" i="8" s="1"/>
  <c r="D97" i="8" s="1"/>
  <c r="H39" i="8" l="1"/>
  <c r="C40" i="8" s="1"/>
  <c r="E40" i="8" s="1"/>
  <c r="Q139" i="8"/>
  <c r="R137" i="8" s="1"/>
  <c r="R138" i="8"/>
  <c r="S136" i="8"/>
  <c r="F40" i="8"/>
  <c r="Q154" i="8"/>
  <c r="R151" i="8" s="1"/>
  <c r="F97" i="8"/>
  <c r="C98" i="8" s="1"/>
  <c r="D98" i="8" s="1"/>
  <c r="R139" i="8" l="1"/>
  <c r="S137" i="8" s="1"/>
  <c r="S138" i="8"/>
  <c r="T136" i="8"/>
  <c r="T138" i="8" s="1"/>
  <c r="F41" i="8"/>
  <c r="H40" i="8"/>
  <c r="C41" i="8" s="1"/>
  <c r="E41" i="8" s="1"/>
  <c r="R153" i="8"/>
  <c r="F98" i="8"/>
  <c r="C99" i="8" s="1"/>
  <c r="D99" i="8" s="1"/>
  <c r="F42" i="8" l="1"/>
  <c r="H41" i="8"/>
  <c r="C42" i="8" s="1"/>
  <c r="S139" i="8"/>
  <c r="T137" i="8" s="1"/>
  <c r="T139" i="8" s="1"/>
  <c r="U137" i="8" s="1"/>
  <c r="U139" i="8" s="1"/>
  <c r="V137" i="8" s="1"/>
  <c r="V139" i="8" s="1"/>
  <c r="W137" i="8" s="1"/>
  <c r="W139" i="8" s="1"/>
  <c r="X137" i="8" s="1"/>
  <c r="X139" i="8" s="1"/>
  <c r="Y137" i="8" s="1"/>
  <c r="Y139" i="8" s="1"/>
  <c r="R154" i="8"/>
  <c r="S151" i="8" s="1"/>
  <c r="S153" i="8" s="1"/>
  <c r="F99" i="8"/>
  <c r="C100" i="8" s="1"/>
  <c r="D100" i="8" s="1"/>
  <c r="F43" i="8" l="1"/>
  <c r="E42" i="8"/>
  <c r="H42" i="8" s="1"/>
  <c r="C43" i="8" s="1"/>
  <c r="S154" i="8"/>
  <c r="T151" i="8" s="1"/>
  <c r="T153" i="8" s="1"/>
  <c r="F44" i="8" l="1"/>
  <c r="F45" i="8" s="1"/>
  <c r="F46" i="8" s="1"/>
  <c r="F47" i="8" s="1"/>
  <c r="F48" i="8" s="1"/>
  <c r="F49" i="8" s="1"/>
  <c r="F50" i="8" s="1"/>
  <c r="F51" i="8" s="1"/>
  <c r="F52" i="8" s="1"/>
  <c r="F53" i="8" s="1"/>
  <c r="F54" i="8" s="1"/>
  <c r="F55" i="8" s="1"/>
  <c r="F56" i="8" s="1"/>
  <c r="E43" i="8"/>
  <c r="H43" i="8" s="1"/>
  <c r="C44" i="8" s="1"/>
  <c r="T154" i="8"/>
  <c r="U151" i="8" s="1"/>
  <c r="F100" i="8"/>
  <c r="C101" i="8" s="1"/>
  <c r="D101" i="8" s="1"/>
  <c r="U153" i="8" l="1"/>
  <c r="U154" i="8" s="1"/>
  <c r="V151" i="8" s="1"/>
  <c r="V153" i="8" s="1"/>
  <c r="V154" i="8" s="1"/>
  <c r="W151" i="8" s="1"/>
  <c r="W153" i="8" s="1"/>
  <c r="W154" i="8" s="1"/>
  <c r="X151" i="8" s="1"/>
  <c r="F57" i="8"/>
  <c r="E44" i="8"/>
  <c r="H44" i="8" s="1"/>
  <c r="C45" i="8" s="1"/>
  <c r="X153" i="8" l="1"/>
  <c r="X154" i="8" s="1"/>
  <c r="Y151" i="8" s="1"/>
  <c r="Y153" i="8" s="1"/>
  <c r="Y154" i="8" s="1"/>
  <c r="F58" i="8"/>
  <c r="E45" i="8"/>
  <c r="H45" i="8" s="1"/>
  <c r="C46" i="8" s="1"/>
  <c r="F101" i="8"/>
  <c r="C102" i="8" s="1"/>
  <c r="D102" i="8" s="1"/>
  <c r="F59" i="8" l="1"/>
  <c r="E46" i="8"/>
  <c r="H46" i="8" s="1"/>
  <c r="C47" i="8" s="1"/>
  <c r="F60" i="8" l="1"/>
  <c r="E47" i="8"/>
  <c r="H47" i="8" s="1"/>
  <c r="C48" i="8" s="1"/>
  <c r="F102" i="8"/>
  <c r="C103" i="8" s="1"/>
  <c r="D103" i="8" s="1"/>
  <c r="F61" i="8" l="1"/>
  <c r="F62" i="8" s="1"/>
  <c r="F63" i="8" s="1"/>
  <c r="F64" i="8" s="1"/>
  <c r="F66" i="8" s="1"/>
  <c r="E48" i="8"/>
  <c r="H48" i="8" s="1"/>
  <c r="C49" i="8" s="1"/>
  <c r="E49" i="8" l="1"/>
  <c r="H49" i="8" s="1"/>
  <c r="C50" i="8" s="1"/>
  <c r="F103" i="8"/>
  <c r="C104" i="8" s="1"/>
  <c r="D104" i="8" s="1"/>
  <c r="E50" i="8" l="1"/>
  <c r="H50" i="8" s="1"/>
  <c r="C51" i="8" s="1"/>
  <c r="E51" i="8" l="1"/>
  <c r="H51" i="8" s="1"/>
  <c r="C52" i="8" s="1"/>
  <c r="F104" i="8"/>
  <c r="C105" i="8" s="1"/>
  <c r="D105" i="8" s="1"/>
  <c r="E52" i="8" l="1"/>
  <c r="H52" i="8" s="1"/>
  <c r="C53" i="8" s="1"/>
  <c r="E53" i="8" l="1"/>
  <c r="H53" i="8" s="1"/>
  <c r="C54" i="8" s="1"/>
  <c r="F105" i="8"/>
  <c r="C106" i="8" s="1"/>
  <c r="D106" i="8" s="1"/>
  <c r="E54" i="8" l="1"/>
  <c r="H54" i="8" s="1"/>
  <c r="C55" i="8" s="1"/>
  <c r="E55" i="8" l="1"/>
  <c r="H55" i="8" s="1"/>
  <c r="C56" i="8" s="1"/>
  <c r="F106" i="8"/>
  <c r="C107" i="8" s="1"/>
  <c r="D107" i="8" s="1"/>
  <c r="E56" i="8" l="1"/>
  <c r="H56" i="8" s="1"/>
  <c r="C57" i="8" s="1"/>
  <c r="E57" i="8" l="1"/>
  <c r="H57" i="8" s="1"/>
  <c r="C58" i="8" s="1"/>
  <c r="F107" i="8"/>
  <c r="C108" i="8" s="1"/>
  <c r="D108" i="8" s="1"/>
  <c r="E58" i="8" l="1"/>
  <c r="H58" i="8" s="1"/>
  <c r="C59" i="8" s="1"/>
  <c r="E59" i="8" l="1"/>
  <c r="H59" i="8" s="1"/>
  <c r="C60" i="8" s="1"/>
  <c r="F108" i="8"/>
  <c r="C109" i="8" s="1"/>
  <c r="D109" i="8" l="1"/>
  <c r="F109" i="8" s="1"/>
  <c r="E60" i="8"/>
  <c r="H60" i="8" s="1"/>
  <c r="C61" i="8" s="1"/>
  <c r="E61" i="8" l="1"/>
  <c r="H61" i="8" s="1"/>
  <c r="C62" i="8" s="1"/>
  <c r="C110" i="8"/>
  <c r="D110" i="8" l="1"/>
  <c r="E62" i="8"/>
  <c r="H62" i="8" s="1"/>
  <c r="C63" i="8" s="1"/>
  <c r="D112" i="8" l="1"/>
  <c r="F110" i="8"/>
  <c r="E63" i="8"/>
  <c r="H63" i="8" s="1"/>
  <c r="C64" i="8" s="1"/>
  <c r="E64" i="8" l="1"/>
  <c r="E66" i="8" l="1"/>
  <c r="H64" i="8"/>
</calcChain>
</file>

<file path=xl/sharedStrings.xml><?xml version="1.0" encoding="utf-8"?>
<sst xmlns="http://schemas.openxmlformats.org/spreadsheetml/2006/main" count="58" uniqueCount="41">
  <si>
    <t>Original Date</t>
  </si>
  <si>
    <t>End of Quarter Date</t>
  </si>
  <si>
    <t>Previous End of Quarter Date</t>
  </si>
  <si>
    <t>Period</t>
  </si>
  <si>
    <t>Opening Balance</t>
  </si>
  <si>
    <t>Drawdown</t>
  </si>
  <si>
    <t>Interest</t>
  </si>
  <si>
    <t>Closing Balance</t>
  </si>
  <si>
    <t>Interest Rate</t>
  </si>
  <si>
    <t>Payment amount</t>
  </si>
  <si>
    <t>Totals</t>
  </si>
  <si>
    <t>Scheduled Payment</t>
  </si>
  <si>
    <t>Additional Payment</t>
  </si>
  <si>
    <t>Payment Date
(End of Period)</t>
  </si>
  <si>
    <t>Payment amount per month</t>
  </si>
  <si>
    <t>Cashflow</t>
  </si>
  <si>
    <t>Internal Rate of Return (Annualised)</t>
  </si>
  <si>
    <t>Internal Rate of Return (Monthly)</t>
  </si>
  <si>
    <t>Net Present Value at Bank Discount rate</t>
  </si>
  <si>
    <t>Bank Discount Rate (Annualised)</t>
  </si>
  <si>
    <t>Initial Asset Balance</t>
  </si>
  <si>
    <t>Assumptions</t>
  </si>
  <si>
    <t>Life of Assets (years)</t>
  </si>
  <si>
    <t>DDB Factor (multiple)</t>
  </si>
  <si>
    <t>Method 1: Using DDB function</t>
  </si>
  <si>
    <t>Year Number</t>
  </si>
  <si>
    <t>Depreciation in year</t>
  </si>
  <si>
    <t>Asset Base - Account Balance</t>
  </si>
  <si>
    <t>Additions in year</t>
  </si>
  <si>
    <t>Addition to Asset Base</t>
  </si>
  <si>
    <t>Year of Addition (at end of specified year)</t>
  </si>
  <si>
    <t>Salvage Value</t>
  </si>
  <si>
    <t>Finance Functions and Working with Dates</t>
  </si>
  <si>
    <t>Task 1 - Working with Dates</t>
  </si>
  <si>
    <t>Task 2 - Loan Schedules</t>
  </si>
  <si>
    <t>Task 3 - Working with Net Present Values and Internal Rates of Return Function</t>
  </si>
  <si>
    <t>Initial data for calculations:</t>
  </si>
  <si>
    <t>Task 4 - Depreciation Calculation</t>
  </si>
  <si>
    <t>Method 2: Using the logic of Straight-Line method withour using the Excel function</t>
  </si>
  <si>
    <t>Method 1.1: Using the logic of DDB method without using the Excel function (addition to Asset Base is added to show the flexibility of provided cals)</t>
  </si>
  <si>
    <t xml:space="preserve">Rate for DDB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</si>
</sst>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quot;$&quot;* #,##0_-;_-&quot;$&quot;* &quot;-&quot;_-;_-@_-"/>
    <numFmt numFmtId="165" formatCode="_-* #,##0_-;\-* #,##0_-;_-* &quot;-&quot;_-;_-@_-"/>
    <numFmt numFmtId="166" formatCode="_-* #,##0.00_-;\-* #,##0.00_-;_-* &quot;-&quot;??_-;_-@_-"/>
    <numFmt numFmtId="167" formatCode="#,##0.00_ ;\-#,##0.00\ "/>
    <numFmt numFmtId="168" formatCode="#,##0_ ;\-#,##0\ "/>
    <numFmt numFmtId="169" formatCode="0.0%"/>
  </numFmts>
  <fonts count="26" x14ac:knownFonts="1">
    <font>
      <sz val="11"/>
      <color theme="1"/>
      <name val="Calibri"/>
      <family val="2"/>
      <scheme val="minor"/>
    </font>
    <font>
      <sz val="11"/>
      <color theme="1"/>
      <name val="Calibri"/>
      <family val="2"/>
      <scheme val="minor"/>
    </font>
    <font>
      <b/>
      <sz val="11"/>
      <color rgb="FF3F3F3F"/>
      <name val="Calibri"/>
      <family val="2"/>
      <scheme val="minor"/>
    </font>
    <font>
      <b/>
      <sz val="11"/>
      <color theme="1"/>
      <name val="Calibri"/>
      <family val="2"/>
      <scheme val="minor"/>
    </font>
    <font>
      <sz val="11"/>
      <color theme="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rgb="FF0000FF"/>
      <name val="Calibri"/>
      <family val="2"/>
      <scheme val="minor"/>
    </font>
    <font>
      <sz val="11"/>
      <name val="Calibri"/>
      <family val="2"/>
      <scheme val="minor"/>
    </font>
    <font>
      <u/>
      <sz val="11"/>
      <color theme="1"/>
      <name val="Calibri"/>
      <family val="2"/>
      <scheme val="minor"/>
    </font>
    <font>
      <u/>
      <sz val="11"/>
      <name val="Calibri"/>
      <family val="2"/>
      <scheme val="minor"/>
    </font>
    <font>
      <b/>
      <sz val="11"/>
      <name val="Calibri"/>
      <family val="2"/>
      <scheme val="minor"/>
    </font>
    <font>
      <i/>
      <sz val="11"/>
      <name val="Calibri"/>
      <family val="2"/>
      <scheme val="minor"/>
    </font>
    <font>
      <b/>
      <sz val="20"/>
      <color theme="1"/>
      <name val="Calibri"/>
      <family val="2"/>
      <scheme val="minor"/>
    </font>
    <font>
      <b/>
      <sz val="11"/>
      <color rgb="FF0000FF"/>
      <name val="Calibri"/>
      <family val="2"/>
      <scheme val="minor"/>
    </font>
  </fonts>
  <fills count="35">
    <fill>
      <patternFill patternType="none"/>
    </fill>
    <fill>
      <patternFill patternType="gray125"/>
    </fill>
    <fill>
      <patternFill patternType="solid">
        <fgColor rgb="FFF2F2F2"/>
      </patternFill>
    </fill>
    <fill>
      <patternFill patternType="solid">
        <fgColor theme="4"/>
      </patternFill>
    </fill>
    <fill>
      <patternFill patternType="solid">
        <fgColor theme="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CCFFCC"/>
        <bgColor indexed="64"/>
      </patternFill>
    </fill>
  </fills>
  <borders count="20">
    <border>
      <left/>
      <right/>
      <top/>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hair">
        <color indexed="64"/>
      </right>
      <top style="thin">
        <color indexed="64"/>
      </top>
      <bottom style="thin">
        <color indexed="64"/>
      </bottom>
      <diagonal/>
    </border>
    <border>
      <left style="hair">
        <color auto="1"/>
      </left>
      <right style="hair">
        <color auto="1"/>
      </right>
      <top style="hair">
        <color auto="1"/>
      </top>
      <bottom style="hair">
        <color auto="1"/>
      </bottom>
      <diagonal/>
    </border>
    <border>
      <left style="thin">
        <color rgb="FF7F7F7F"/>
      </left>
      <right style="thin">
        <color rgb="FF7F7F7F"/>
      </right>
      <top style="thin">
        <color indexed="64"/>
      </top>
      <bottom style="thin">
        <color rgb="FF7F7F7F"/>
      </bottom>
      <diagonal/>
    </border>
    <border>
      <left style="hair">
        <color auto="1"/>
      </left>
      <right/>
      <top style="hair">
        <color auto="1"/>
      </top>
      <bottom style="hair">
        <color auto="1"/>
      </bottom>
      <diagonal/>
    </border>
    <border>
      <left style="thin">
        <color indexed="64"/>
      </left>
      <right style="hair">
        <color auto="1"/>
      </right>
      <top style="hair">
        <color auto="1"/>
      </top>
      <bottom style="hair">
        <color auto="1"/>
      </bottom>
      <diagonal/>
    </border>
    <border>
      <left style="thin">
        <color rgb="FF7F7F7F"/>
      </left>
      <right/>
      <top style="thin">
        <color indexed="64"/>
      </top>
      <bottom/>
      <diagonal/>
    </border>
  </borders>
  <cellStyleXfs count="46">
    <xf numFmtId="0" fontId="0" fillId="0" borderId="0"/>
    <xf numFmtId="0" fontId="2" fillId="2" borderId="1" applyNumberFormat="0" applyAlignment="0" applyProtection="0"/>
    <xf numFmtId="0" fontId="3" fillId="0" borderId="2" applyNumberFormat="0" applyFill="0" applyAlignment="0" applyProtection="0"/>
    <xf numFmtId="0" fontId="4" fillId="3" borderId="0" applyNumberFormat="0" applyBorder="0" applyAlignment="0" applyProtection="0"/>
    <xf numFmtId="0" fontId="4" fillId="4" borderId="0" applyNumberFormat="0" applyBorder="0" applyAlignment="0" applyProtection="0"/>
    <xf numFmtId="0" fontId="5" fillId="0" borderId="0" applyNumberFormat="0" applyFill="0" applyBorder="0" applyAlignment="0" applyProtection="0"/>
    <xf numFmtId="0" fontId="6" fillId="0" borderId="3" applyNumberFormat="0" applyFill="0" applyAlignment="0" applyProtection="0"/>
    <xf numFmtId="0" fontId="7" fillId="0" borderId="4" applyNumberFormat="0" applyFill="0" applyAlignment="0" applyProtection="0"/>
    <xf numFmtId="0" fontId="8" fillId="0" borderId="5" applyNumberFormat="0" applyFill="0" applyAlignment="0" applyProtection="0"/>
    <xf numFmtId="0" fontId="8" fillId="0" borderId="0" applyNumberFormat="0" applyFill="0" applyBorder="0" applyAlignment="0" applyProtection="0"/>
    <xf numFmtId="0" fontId="9" fillId="5" borderId="0" applyNumberFormat="0" applyBorder="0" applyAlignment="0" applyProtection="0"/>
    <xf numFmtId="0" fontId="10" fillId="6" borderId="0" applyNumberFormat="0" applyBorder="0" applyAlignment="0" applyProtection="0"/>
    <xf numFmtId="0" fontId="11" fillId="7" borderId="0" applyNumberFormat="0" applyBorder="0" applyAlignment="0" applyProtection="0"/>
    <xf numFmtId="0" fontId="12" fillId="8" borderId="6" applyNumberFormat="0" applyAlignment="0" applyProtection="0"/>
    <xf numFmtId="0" fontId="13" fillId="2" borderId="6" applyNumberFormat="0" applyAlignment="0" applyProtection="0"/>
    <xf numFmtId="0" fontId="14" fillId="0" borderId="7" applyNumberFormat="0" applyFill="0" applyAlignment="0" applyProtection="0"/>
    <xf numFmtId="0" fontId="15" fillId="9" borderId="8" applyNumberFormat="0" applyAlignment="0" applyProtection="0"/>
    <xf numFmtId="0" fontId="16" fillId="0" borderId="0" applyNumberFormat="0" applyFill="0" applyBorder="0" applyAlignment="0" applyProtection="0"/>
    <xf numFmtId="0" fontId="1" fillId="10" borderId="9" applyNumberFormat="0" applyFont="0" applyAlignment="0" applyProtection="0"/>
    <xf numFmtId="0" fontId="17" fillId="0" borderId="0" applyNumberFormat="0" applyFill="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0" fontId="4" fillId="33" borderId="0" xfId="0" applyFont="1" applyFill="1"/>
    <xf numFmtId="0" fontId="15" fillId="33" borderId="0" xfId="0" applyFont="1" applyFill="1"/>
    <xf numFmtId="0" fontId="3" fillId="0" borderId="0" xfId="0" applyFont="1"/>
    <xf numFmtId="15" fontId="18" fillId="0" borderId="0" xfId="0" applyNumberFormat="1" applyFont="1"/>
    <xf numFmtId="0" fontId="0" fillId="0" borderId="12" xfId="0" applyBorder="1"/>
    <xf numFmtId="15" fontId="0" fillId="34" borderId="14" xfId="0" applyNumberFormat="1" applyFill="1" applyBorder="1"/>
    <xf numFmtId="0" fontId="0" fillId="0" borderId="0" xfId="0" applyAlignment="1">
      <alignment horizontal="center"/>
    </xf>
    <xf numFmtId="15" fontId="19" fillId="0" borderId="0" xfId="0" applyNumberFormat="1" applyFont="1"/>
    <xf numFmtId="0" fontId="3" fillId="0" borderId="13" xfId="0" applyFont="1" applyBorder="1" applyAlignment="1">
      <alignment horizontal="center" vertical="center" wrapText="1"/>
    </xf>
    <xf numFmtId="0" fontId="3" fillId="0" borderId="13" xfId="0" applyFont="1" applyBorder="1" applyAlignment="1">
      <alignment horizontal="right" vertical="center" wrapText="1"/>
    </xf>
    <xf numFmtId="0" fontId="3" fillId="0" borderId="13" xfId="0" applyFont="1" applyBorder="1"/>
    <xf numFmtId="10" fontId="18" fillId="0" borderId="10" xfId="0" applyNumberFormat="1" applyFont="1" applyBorder="1"/>
    <xf numFmtId="10" fontId="18" fillId="0" borderId="0" xfId="0" applyNumberFormat="1" applyFont="1"/>
    <xf numFmtId="0" fontId="3" fillId="0" borderId="12" xfId="0" applyFont="1" applyBorder="1" applyAlignment="1">
      <alignment horizontal="center"/>
    </xf>
    <xf numFmtId="167" fontId="0" fillId="34" borderId="15" xfId="44" applyNumberFormat="1" applyFont="1" applyFill="1" applyBorder="1"/>
    <xf numFmtId="167" fontId="0" fillId="34" borderId="10" xfId="44" applyNumberFormat="1" applyFont="1" applyFill="1" applyBorder="1"/>
    <xf numFmtId="167" fontId="0" fillId="0" borderId="0" xfId="44" applyNumberFormat="1" applyFont="1" applyFill="1"/>
    <xf numFmtId="167" fontId="18" fillId="0" borderId="0" xfId="44" applyNumberFormat="1" applyFont="1" applyFill="1"/>
    <xf numFmtId="167" fontId="0" fillId="0" borderId="15" xfId="44" applyNumberFormat="1" applyFont="1" applyFill="1" applyBorder="1"/>
    <xf numFmtId="167" fontId="0" fillId="0" borderId="11" xfId="44" applyNumberFormat="1" applyFont="1" applyFill="1" applyBorder="1"/>
    <xf numFmtId="167" fontId="0" fillId="34" borderId="18" xfId="44" applyNumberFormat="1" applyFont="1" applyFill="1" applyBorder="1"/>
    <xf numFmtId="167" fontId="18" fillId="34" borderId="17" xfId="44" applyNumberFormat="1" applyFont="1" applyFill="1" applyBorder="1"/>
    <xf numFmtId="0" fontId="0" fillId="0" borderId="19" xfId="0" applyBorder="1"/>
    <xf numFmtId="0" fontId="3" fillId="0" borderId="0" xfId="0" applyFont="1" applyAlignment="1">
      <alignment horizontal="right" vertical="center" wrapText="1"/>
    </xf>
    <xf numFmtId="167" fontId="18" fillId="0" borderId="10" xfId="44" applyNumberFormat="1" applyFont="1" applyFill="1" applyBorder="1"/>
    <xf numFmtId="10" fontId="18" fillId="34" borderId="10" xfId="0" applyNumberFormat="1" applyFont="1" applyFill="1" applyBorder="1"/>
    <xf numFmtId="167" fontId="0" fillId="0" borderId="18" xfId="44" applyNumberFormat="1" applyFont="1" applyFill="1" applyBorder="1"/>
    <xf numFmtId="167" fontId="19" fillId="0" borderId="0" xfId="44" applyNumberFormat="1" applyFont="1" applyFill="1"/>
    <xf numFmtId="0" fontId="20" fillId="0" borderId="0" xfId="0" applyFont="1"/>
    <xf numFmtId="168" fontId="18" fillId="0" borderId="0" xfId="44" applyNumberFormat="1" applyFont="1" applyFill="1"/>
    <xf numFmtId="167" fontId="21" fillId="0" borderId="0" xfId="44" applyNumberFormat="1" applyFont="1" applyFill="1"/>
    <xf numFmtId="167" fontId="22" fillId="0" borderId="0" xfId="44" applyNumberFormat="1" applyFont="1" applyFill="1"/>
    <xf numFmtId="167" fontId="23" fillId="0" borderId="0" xfId="44" applyNumberFormat="1" applyFont="1" applyFill="1"/>
    <xf numFmtId="168" fontId="23" fillId="0" borderId="0" xfId="44" applyNumberFormat="1" applyFont="1" applyFill="1"/>
    <xf numFmtId="167" fontId="16" fillId="0" borderId="0" xfId="44" applyNumberFormat="1" applyFont="1" applyFill="1"/>
    <xf numFmtId="167" fontId="19" fillId="34" borderId="15" xfId="44" applyNumberFormat="1" applyFont="1" applyFill="1" applyBorder="1"/>
    <xf numFmtId="0" fontId="24" fillId="0" borderId="0" xfId="0" applyFont="1"/>
    <xf numFmtId="167" fontId="1" fillId="34" borderId="15" xfId="44" applyNumberFormat="1" applyFont="1" applyFill="1" applyBorder="1"/>
    <xf numFmtId="167" fontId="1" fillId="34" borderId="18" xfId="44" applyNumberFormat="1" applyFont="1" applyFill="1" applyBorder="1"/>
    <xf numFmtId="167" fontId="25" fillId="2" borderId="16" xfId="14" applyNumberFormat="1" applyFont="1" applyBorder="1"/>
    <xf numFmtId="167" fontId="25" fillId="2" borderId="16" xfId="44" applyNumberFormat="1" applyFont="1" applyFill="1" applyBorder="1"/>
    <xf numFmtId="167" fontId="18" fillId="0" borderId="0" xfId="44" applyNumberFormat="1" applyFont="1" applyFill="1" applyBorder="1"/>
    <xf numFmtId="169" fontId="19" fillId="0" borderId="0" xfId="45" applyNumberFormat="1" applyFont="1" applyFill="1"/>
  </cellXfs>
  <cellStyles count="46">
    <cellStyle name="20% - Accent1" xfId="20"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1"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2"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3" builtinId="29" customBuiltin="1"/>
    <cellStyle name="Accent2" xfId="4" builtinId="33" customBuiltin="1"/>
    <cellStyle name="Accent3" xfId="26" builtinId="37" customBuiltin="1"/>
    <cellStyle name="Accent4" xfId="30" builtinId="41" customBuiltin="1"/>
    <cellStyle name="Accent5" xfId="34" builtinId="45" customBuiltin="1"/>
    <cellStyle name="Accent6" xfId="38" builtinId="49" customBuiltin="1"/>
    <cellStyle name="Bad" xfId="11" builtinId="27" customBuiltin="1"/>
    <cellStyle name="Calculation" xfId="14" builtinId="22" customBuiltin="1"/>
    <cellStyle name="Check Cell" xfId="16" builtinId="23" customBuiltin="1"/>
    <cellStyle name="Comma" xfId="44" builtinId="3"/>
    <cellStyle name="Comma [0]" xfId="42" builtinId="6" hidden="1"/>
    <cellStyle name="Currency [0]" xfId="43" builtinId="7" hidden="1"/>
    <cellStyle name="Explanatory Text" xfId="19"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3" builtinId="20" customBuiltin="1"/>
    <cellStyle name="Linked Cell" xfId="15" builtinId="24" customBuiltin="1"/>
    <cellStyle name="Neutral" xfId="12" builtinId="28" customBuiltin="1"/>
    <cellStyle name="Normal" xfId="0" builtinId="0"/>
    <cellStyle name="Note" xfId="18" builtinId="10" customBuiltin="1"/>
    <cellStyle name="Output" xfId="1" builtinId="21" customBuiltin="1"/>
    <cellStyle name="Percent" xfId="45" builtinId="5"/>
    <cellStyle name="Title" xfId="5" builtinId="15" customBuiltin="1"/>
    <cellStyle name="Total" xfId="2" builtinId="25" customBuiltin="1"/>
    <cellStyle name="Warning Text" xfId="17" builtinId="11" customBuiltin="1"/>
  </cellStyles>
  <dxfs count="0"/>
  <tableStyles count="0" defaultTableStyle="TableStyleMedium2" defaultPivotStyle="PivotStyleLight16"/>
  <colors>
    <mruColors>
      <color rgb="FF0000FF"/>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998220</xdr:colOff>
      <xdr:row>2</xdr:row>
      <xdr:rowOff>167640</xdr:rowOff>
    </xdr:from>
    <xdr:to>
      <xdr:col>12</xdr:col>
      <xdr:colOff>396240</xdr:colOff>
      <xdr:row>7</xdr:row>
      <xdr:rowOff>68580</xdr:rowOff>
    </xdr:to>
    <xdr:sp macro="" textlink="">
      <xdr:nvSpPr>
        <xdr:cNvPr id="2" name="TextBox 1">
          <a:extLst>
            <a:ext uri="{FF2B5EF4-FFF2-40B4-BE49-F238E27FC236}">
              <a16:creationId xmlns:a16="http://schemas.microsoft.com/office/drawing/2014/main" id="{C8A95925-39F5-94CA-EAD3-DD64CAF87C06}"/>
            </a:ext>
          </a:extLst>
        </xdr:cNvPr>
        <xdr:cNvSpPr txBox="1"/>
      </xdr:nvSpPr>
      <xdr:spPr>
        <a:xfrm>
          <a:off x="998220" y="678180"/>
          <a:ext cx="11064240" cy="81534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Comment</a:t>
          </a:r>
          <a:r>
            <a:rPr lang="en-US" sz="1100" b="1" baseline="0"/>
            <a:t>:</a:t>
          </a:r>
        </a:p>
        <a:p>
          <a:endParaRPr lang="en-US" sz="1100" b="1"/>
        </a:p>
        <a:p>
          <a:r>
            <a:rPr lang="en-US" sz="1100" b="0"/>
            <a:t>Cells F5:T5 contain dates from the years 2010 to 2020. The task was to write a formula that will return the end-of-quarter date for the calendar quarter in which the date from row 5 falls. To complete this the EOMONTH function was used in row 6 and 7 with adding or substracting specific number of month depending which solution should be achieved.</a:t>
          </a:r>
        </a:p>
      </xdr:txBody>
    </xdr:sp>
    <xdr:clientData/>
  </xdr:twoCellAnchor>
  <xdr:twoCellAnchor>
    <xdr:from>
      <xdr:col>8</xdr:col>
      <xdr:colOff>416560</xdr:colOff>
      <xdr:row>26</xdr:row>
      <xdr:rowOff>365760</xdr:rowOff>
    </xdr:from>
    <xdr:to>
      <xdr:col>21</xdr:col>
      <xdr:colOff>419100</xdr:colOff>
      <xdr:row>39</xdr:row>
      <xdr:rowOff>38100</xdr:rowOff>
    </xdr:to>
    <xdr:sp macro="" textlink="">
      <xdr:nvSpPr>
        <xdr:cNvPr id="3" name="TextBox 2">
          <a:extLst>
            <a:ext uri="{FF2B5EF4-FFF2-40B4-BE49-F238E27FC236}">
              <a16:creationId xmlns:a16="http://schemas.microsoft.com/office/drawing/2014/main" id="{4EFAC5EE-67DF-2FC6-FCAC-C0B534F17004}"/>
            </a:ext>
          </a:extLst>
        </xdr:cNvPr>
        <xdr:cNvSpPr txBox="1"/>
      </xdr:nvSpPr>
      <xdr:spPr>
        <a:xfrm>
          <a:off x="8582660" y="5890260"/>
          <a:ext cx="10988040" cy="217424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Comment</a:t>
          </a:r>
          <a:r>
            <a:rPr lang="en-US" sz="1100" b="1" baseline="0">
              <a:solidFill>
                <a:schemeClr val="dk1"/>
              </a:solidFill>
              <a:effectLst/>
              <a:latin typeface="+mn-lt"/>
              <a:ea typeface="+mn-ea"/>
              <a:cs typeface="+mn-cs"/>
            </a:rPr>
            <a:t>:</a:t>
          </a:r>
          <a:endParaRPr lang="en-US">
            <a:effectLst/>
          </a:endParaRPr>
        </a:p>
        <a:p>
          <a:endParaRPr lang="en-US" sz="1100"/>
        </a:p>
        <a:p>
          <a:r>
            <a:rPr lang="en-US" sz="1100"/>
            <a:t>I built a loan schedule that has some flexibility for changing input values. There is a model of 3-year loan with constant monthly scheduled payments. The outline of the schedule has been provided at cells A27:H64. The loan amount is for $50,000 and the interest rate is 9.75% per annum. Interest is calculated each month, with the monthly rate of 1/12th of the annual rate applied to the monthly opening balance. Scheduled Payments are made on the last day of each month. The loan must be paid down to a balance of $0 at the end of 3 years.</a:t>
          </a:r>
        </a:p>
        <a:p>
          <a:r>
            <a:rPr lang="en-US" sz="1100" b="0" i="0">
              <a:solidFill>
                <a:schemeClr val="dk1"/>
              </a:solidFill>
              <a:effectLst/>
              <a:latin typeface="+mn-lt"/>
              <a:ea typeface="+mn-ea"/>
              <a:cs typeface="+mn-cs"/>
            </a:rPr>
            <a:t>The following calculations were made:</a:t>
          </a:r>
        </a:p>
        <a:p>
          <a:r>
            <a:rPr lang="en-US" sz="1100" b="0" i="0">
              <a:solidFill>
                <a:schemeClr val="dk1"/>
              </a:solidFill>
              <a:effectLst/>
              <a:latin typeface="+mn-lt"/>
              <a:ea typeface="+mn-ea"/>
              <a:cs typeface="+mn-cs"/>
            </a:rPr>
            <a:t>1. In cell F26 the PMT function was used to calculate the monthly scheduled payment amount necessary for this loan.</a:t>
          </a:r>
          <a:endParaRPr lang="en-US" sz="1100" b="0"/>
        </a:p>
        <a:p>
          <a:r>
            <a:rPr lang="en-US" sz="1100"/>
            <a:t>2. The Opening Balance</a:t>
          </a:r>
          <a:r>
            <a:rPr lang="en-US" sz="1100" baseline="0"/>
            <a:t> is always equal to the Closing Balance of the previous period.</a:t>
          </a:r>
        </a:p>
        <a:p>
          <a:r>
            <a:rPr lang="en-US" sz="1100" baseline="0"/>
            <a:t>3. The loan amount was put in schedule accordingly to the date when it was taken.</a:t>
          </a:r>
        </a:p>
        <a:p>
          <a:r>
            <a:rPr lang="en-US" sz="1100"/>
            <a:t>4. The interest in Column E is calculated</a:t>
          </a:r>
          <a:r>
            <a:rPr lang="en-US" sz="1100" baseline="0"/>
            <a:t> as 1/12th monthly rate multiplied with the Opening Balance of each month. </a:t>
          </a:r>
        </a:p>
        <a:p>
          <a:r>
            <a:rPr lang="en-US" sz="1100" baseline="0"/>
            <a:t>5. In purpose to add a flexibility to the schedule the additional payment $10,000 is added on the 20th of January 2019. To complete that the changes were made to the calculations of scheduled payments in cells F39:F64. If we would like to delete the additional payment the schedule will still work correctly.</a:t>
          </a:r>
          <a:endParaRPr lang="en-US" sz="1100"/>
        </a:p>
      </xdr:txBody>
    </xdr:sp>
    <xdr:clientData/>
  </xdr:twoCellAnchor>
  <xdr:twoCellAnchor>
    <xdr:from>
      <xdr:col>6</xdr:col>
      <xdr:colOff>434340</xdr:colOff>
      <xdr:row>83</xdr:row>
      <xdr:rowOff>160020</xdr:rowOff>
    </xdr:from>
    <xdr:to>
      <xdr:col>24</xdr:col>
      <xdr:colOff>156633</xdr:colOff>
      <xdr:row>98</xdr:row>
      <xdr:rowOff>88900</xdr:rowOff>
    </xdr:to>
    <xdr:sp macro="" textlink="">
      <xdr:nvSpPr>
        <xdr:cNvPr id="4" name="TextBox 3">
          <a:extLst>
            <a:ext uri="{FF2B5EF4-FFF2-40B4-BE49-F238E27FC236}">
              <a16:creationId xmlns:a16="http://schemas.microsoft.com/office/drawing/2014/main" id="{5727CF75-BBE4-55C4-70A3-5F3BE089F2FF}"/>
            </a:ext>
          </a:extLst>
        </xdr:cNvPr>
        <xdr:cNvSpPr txBox="1"/>
      </xdr:nvSpPr>
      <xdr:spPr>
        <a:xfrm>
          <a:off x="6873240" y="17139920"/>
          <a:ext cx="14301893" cy="278638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this task I generated the data at rows 85:110. </a:t>
          </a:r>
        </a:p>
        <a:p>
          <a:r>
            <a:rPr lang="en-US" sz="1100"/>
            <a:t>The schedule shows a 24-month loan from the point of view of the bank (or any investor) making the loan. For this loan, the bank (investor) lends (invests) $10,000 on the 20th of March 2018, and receives payments of $450.00 on the 20th of each month for the next 24 months.</a:t>
          </a:r>
        </a:p>
        <a:p>
          <a:endParaRPr lang="en-US" sz="1100"/>
        </a:p>
        <a:p>
          <a:r>
            <a:rPr lang="en-US" sz="1100"/>
            <a:t>1. IRR calculation</a:t>
          </a:r>
        </a:p>
        <a:p>
          <a:r>
            <a:rPr lang="en-US" sz="1100"/>
            <a:t>In cell E114 the IRR function was used to find the internal rate of return to the bank for the cashflows in cells E86:E110. In cell E115  an annual rate is expressed (the annual rate calculated as 12 times the monthly rate).</a:t>
          </a:r>
        </a:p>
        <a:p>
          <a:r>
            <a:rPr lang="en-US" sz="1100"/>
            <a:t>If the bank was to charge interest on this loan using an interest rate equal to the calculated internal rate of return, the closing balance must come out to be $0.00. </a:t>
          </a:r>
        </a:p>
        <a:p>
          <a:endParaRPr lang="en-US" sz="1100"/>
        </a:p>
        <a:p>
          <a:r>
            <a:rPr lang="en-US" sz="1100"/>
            <a:t>2.The Interest payment schedule calculation if the bank(investor) decided to lend with using IRR as annual rate</a:t>
          </a:r>
          <a:r>
            <a:rPr lang="en-US" sz="1100" baseline="0"/>
            <a:t> (green cells in Column D).</a:t>
          </a:r>
          <a:endParaRPr lang="en-US" sz="1100"/>
        </a:p>
        <a:p>
          <a:r>
            <a:rPr lang="en-US" sz="1100"/>
            <a:t>With the purpose of more precise in interest calculation, the Annualised IRR result in cell E115 was used as the annual interest rate, but now calculated the interest each month taking into account the number of days in each month (the Period Payment Date minus the previous Period Payment Date).</a:t>
          </a:r>
        </a:p>
        <a:p>
          <a:endParaRPr lang="en-US" sz="1100"/>
        </a:p>
        <a:p>
          <a:r>
            <a:rPr lang="en-US" sz="1100"/>
            <a:t>3.The Net Present Value calculation. </a:t>
          </a:r>
        </a:p>
        <a:p>
          <a:r>
            <a:rPr lang="en-US" sz="1100"/>
            <a:t>The bank (or investor) is able to borrow funds on the wholesale lending market at a cost of 4.00% per annum. If the bank is able to make loans to customers that have an IRR of above 4.00% per annum (such as this one), then that should be a positive NPV situation for the bank.</a:t>
          </a:r>
        </a:p>
        <a:p>
          <a:r>
            <a:rPr lang="en-US" sz="1100"/>
            <a:t>In cell E118, the NPV is calculated as the cashflows in cells E86:E110 at a 4.00% per annum discount rate. </a:t>
          </a:r>
        </a:p>
      </xdr:txBody>
    </xdr:sp>
    <xdr:clientData/>
  </xdr:twoCellAnchor>
  <xdr:twoCellAnchor>
    <xdr:from>
      <xdr:col>1</xdr:col>
      <xdr:colOff>50800</xdr:colOff>
      <xdr:row>122</xdr:row>
      <xdr:rowOff>8466</xdr:rowOff>
    </xdr:from>
    <xdr:to>
      <xdr:col>13</xdr:col>
      <xdr:colOff>355600</xdr:colOff>
      <xdr:row>122</xdr:row>
      <xdr:rowOff>558800</xdr:rowOff>
    </xdr:to>
    <xdr:sp macro="" textlink="">
      <xdr:nvSpPr>
        <xdr:cNvPr id="5" name="TextBox 4">
          <a:extLst>
            <a:ext uri="{FF2B5EF4-FFF2-40B4-BE49-F238E27FC236}">
              <a16:creationId xmlns:a16="http://schemas.microsoft.com/office/drawing/2014/main" id="{3BB7BA8E-1D1F-0A09-CDB1-079127D01678}"/>
            </a:ext>
          </a:extLst>
        </xdr:cNvPr>
        <xdr:cNvSpPr txBox="1"/>
      </xdr:nvSpPr>
      <xdr:spPr>
        <a:xfrm>
          <a:off x="1083733" y="24527933"/>
          <a:ext cx="11844867" cy="550334"/>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section the</a:t>
          </a:r>
          <a:r>
            <a:rPr lang="en-US" sz="1100" baseline="0"/>
            <a:t> depreciation calculations are shown.</a:t>
          </a:r>
        </a:p>
        <a:p>
          <a:r>
            <a:rPr lang="en-US" sz="1100" baseline="0"/>
            <a:t>Two methods are used : Double-Declining Balance Method (the calculations are expressed using the Excel function DDB and without using it) and Straight-Line Depreciation.</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3"/>
  <sheetViews>
    <sheetView showGridLines="0" tabSelected="1" zoomScale="59" zoomScaleNormal="59" workbookViewId="0">
      <selection activeCell="K46" sqref="K46"/>
    </sheetView>
  </sheetViews>
  <sheetFormatPr defaultColWidth="9.109375" defaultRowHeight="14.4" x14ac:dyDescent="0.3"/>
  <cols>
    <col min="1" max="1" width="15.109375" customWidth="1"/>
    <col min="2" max="2" width="28.33203125" customWidth="1"/>
    <col min="3" max="5" width="12.6640625" customWidth="1"/>
    <col min="6" max="6" width="14.33203125" customWidth="1"/>
    <col min="7" max="7" width="13.77734375" customWidth="1"/>
    <col min="8" max="20" width="12.6640625" customWidth="1"/>
  </cols>
  <sheetData>
    <row r="1" spans="1:20" ht="25.8" x14ac:dyDescent="0.5">
      <c r="A1" s="37" t="s">
        <v>32</v>
      </c>
    </row>
    <row r="2" spans="1:20" x14ac:dyDescent="0.3">
      <c r="A2" s="1"/>
      <c r="B2" s="2" t="s">
        <v>33</v>
      </c>
      <c r="C2" s="1"/>
      <c r="D2" s="1"/>
      <c r="E2" s="1"/>
      <c r="F2" s="1"/>
      <c r="G2" s="1"/>
      <c r="H2" s="1"/>
      <c r="I2" s="1"/>
      <c r="J2" s="1"/>
      <c r="K2" s="1"/>
      <c r="L2" s="1"/>
      <c r="M2" s="1"/>
      <c r="N2" s="1"/>
      <c r="O2" s="1"/>
      <c r="P2" s="1"/>
      <c r="Q2" s="1"/>
      <c r="R2" s="1"/>
      <c r="S2" s="1"/>
      <c r="T2" s="1"/>
    </row>
    <row r="8" spans="1:20" x14ac:dyDescent="0.3">
      <c r="A8" s="3"/>
    </row>
    <row r="9" spans="1:20" x14ac:dyDescent="0.3">
      <c r="B9" t="s">
        <v>0</v>
      </c>
      <c r="F9" s="4">
        <v>40604</v>
      </c>
      <c r="G9" s="4">
        <v>40566</v>
      </c>
      <c r="H9" s="4">
        <v>41494</v>
      </c>
      <c r="I9" s="4">
        <v>41398</v>
      </c>
      <c r="J9" s="4">
        <v>42581</v>
      </c>
      <c r="K9" s="4">
        <v>40826</v>
      </c>
      <c r="L9" s="4">
        <v>42597</v>
      </c>
      <c r="M9" s="4">
        <v>43371</v>
      </c>
      <c r="N9" s="4">
        <v>42201</v>
      </c>
      <c r="O9" s="4">
        <v>40270</v>
      </c>
      <c r="P9" s="4">
        <v>41905</v>
      </c>
      <c r="Q9" s="4">
        <v>41237</v>
      </c>
      <c r="R9" s="4">
        <v>43243</v>
      </c>
      <c r="S9" s="4">
        <v>40525</v>
      </c>
      <c r="T9" s="4">
        <v>40398</v>
      </c>
    </row>
    <row r="10" spans="1:20" x14ac:dyDescent="0.3">
      <c r="B10" t="s">
        <v>1</v>
      </c>
      <c r="F10" s="6">
        <f>EOMONTH(F9,0)</f>
        <v>40633</v>
      </c>
      <c r="G10" s="6">
        <f>EOMONTH(G9,2)</f>
        <v>40633</v>
      </c>
      <c r="H10" s="6">
        <f>EOMONTH(H9,1)</f>
        <v>41547</v>
      </c>
      <c r="I10" s="6">
        <f>EOMONTH(I9,1)</f>
        <v>41455</v>
      </c>
      <c r="J10" s="6">
        <f>EOMONTH(J9,2)</f>
        <v>42643</v>
      </c>
      <c r="K10" s="6">
        <f>EOMONTH(K9,2)</f>
        <v>40908</v>
      </c>
      <c r="L10" s="6">
        <f>EOMONTH(L9,1)</f>
        <v>42643</v>
      </c>
      <c r="M10" s="6">
        <f>EOMONTH(M9,0)</f>
        <v>43373</v>
      </c>
      <c r="N10" s="6">
        <f>EOMONTH(N9,2)</f>
        <v>42277</v>
      </c>
      <c r="O10" s="6">
        <f>EOMONTH(O9,2)</f>
        <v>40359</v>
      </c>
      <c r="P10" s="6">
        <f>EOMONTH(P9,0)</f>
        <v>41912</v>
      </c>
      <c r="Q10" s="6">
        <f>EOMONTH(Q9,1)</f>
        <v>41274</v>
      </c>
      <c r="R10" s="6">
        <f>EOMONTH(R9,1)</f>
        <v>43281</v>
      </c>
      <c r="S10" s="6">
        <f>EOMONTH(S9,0)</f>
        <v>40543</v>
      </c>
      <c r="T10" s="6">
        <f>EOMONTH(T9,1)</f>
        <v>40451</v>
      </c>
    </row>
    <row r="11" spans="1:20" x14ac:dyDescent="0.3">
      <c r="B11" t="s">
        <v>2</v>
      </c>
      <c r="F11" s="6">
        <f>EOMONTH(F9,-3)</f>
        <v>40543</v>
      </c>
      <c r="G11" s="6">
        <f>EOMONTH(G9,-1)</f>
        <v>40543</v>
      </c>
      <c r="H11" s="6">
        <f>EOMONTH(H9,-2)</f>
        <v>41455</v>
      </c>
      <c r="I11" s="6">
        <f>EOMONTH(I9,-2)</f>
        <v>41364</v>
      </c>
      <c r="J11" s="6">
        <f>EOMONTH(J9,-1)</f>
        <v>42551</v>
      </c>
      <c r="K11" s="6">
        <f>EOMONTH(K9,-1)</f>
        <v>40816</v>
      </c>
      <c r="L11" s="6">
        <f>EOMONTH(L9,-2)</f>
        <v>42551</v>
      </c>
      <c r="M11" s="6">
        <f>EOMONTH(M9,-3)</f>
        <v>43281</v>
      </c>
      <c r="N11" s="6">
        <f>EOMONTH(N9,-1)</f>
        <v>42185</v>
      </c>
      <c r="O11" s="6">
        <f>EOMONTH(O9,-1)</f>
        <v>40268</v>
      </c>
      <c r="P11" s="6">
        <f>EOMONTH(P9,-3)</f>
        <v>41820</v>
      </c>
      <c r="Q11" s="6">
        <f>EOMONTH(Q9,-2)</f>
        <v>41182</v>
      </c>
      <c r="R11" s="6">
        <f>EOMONTH(R9,-2)</f>
        <v>43190</v>
      </c>
      <c r="S11" s="6">
        <f>EOMONTH(S9,-3)</f>
        <v>40451</v>
      </c>
      <c r="T11" s="6">
        <f>EOMONTH(T9,-2)</f>
        <v>40359</v>
      </c>
    </row>
    <row r="14" spans="1:20" x14ac:dyDescent="0.3">
      <c r="A14" s="1"/>
      <c r="B14" s="2" t="s">
        <v>34</v>
      </c>
      <c r="C14" s="1"/>
      <c r="D14" s="1"/>
      <c r="E14" s="1"/>
      <c r="F14" s="1"/>
      <c r="G14" s="1"/>
      <c r="H14" s="1"/>
      <c r="I14" s="1"/>
      <c r="J14" s="1"/>
      <c r="K14" s="1"/>
      <c r="L14" s="1"/>
      <c r="M14" s="1"/>
      <c r="N14" s="1"/>
      <c r="O14" s="1"/>
      <c r="P14" s="1"/>
      <c r="Q14" s="1"/>
      <c r="R14" s="1"/>
      <c r="S14" s="1"/>
      <c r="T14" s="1"/>
    </row>
    <row r="16" spans="1:20" hidden="1" x14ac:dyDescent="0.3"/>
    <row r="17" spans="1:11" hidden="1" x14ac:dyDescent="0.3"/>
    <row r="18" spans="1:11" hidden="1" x14ac:dyDescent="0.3"/>
    <row r="19" spans="1:11" hidden="1" x14ac:dyDescent="0.3"/>
    <row r="20" spans="1:11" hidden="1" x14ac:dyDescent="0.3"/>
    <row r="21" spans="1:11" hidden="1" x14ac:dyDescent="0.3"/>
    <row r="22" spans="1:11" ht="72.599999999999994" hidden="1" customHeight="1" x14ac:dyDescent="0.3"/>
    <row r="23" spans="1:11" hidden="1" x14ac:dyDescent="0.3"/>
    <row r="24" spans="1:11" hidden="1" x14ac:dyDescent="0.3"/>
    <row r="25" spans="1:11" x14ac:dyDescent="0.3">
      <c r="B25" t="s">
        <v>8</v>
      </c>
      <c r="E25" s="12">
        <v>9.7500000000000003E-2</v>
      </c>
    </row>
    <row r="26" spans="1:11" x14ac:dyDescent="0.3">
      <c r="A26" s="3"/>
      <c r="B26" t="s">
        <v>9</v>
      </c>
      <c r="C26" s="3"/>
      <c r="E26" s="13"/>
      <c r="F26" s="16">
        <f>PMT(E25/12,3*12,D28)</f>
        <v>-1607.497050722433</v>
      </c>
      <c r="G26" s="3"/>
    </row>
    <row r="27" spans="1:11" ht="28.8" x14ac:dyDescent="0.3">
      <c r="A27" s="9" t="s">
        <v>3</v>
      </c>
      <c r="B27" s="10" t="s">
        <v>13</v>
      </c>
      <c r="C27" s="10" t="s">
        <v>4</v>
      </c>
      <c r="D27" s="10" t="s">
        <v>5</v>
      </c>
      <c r="E27" s="10" t="s">
        <v>6</v>
      </c>
      <c r="F27" s="10" t="s">
        <v>11</v>
      </c>
      <c r="G27" s="10" t="s">
        <v>12</v>
      </c>
      <c r="H27" s="10" t="s">
        <v>7</v>
      </c>
      <c r="I27" s="10"/>
      <c r="J27" s="11"/>
      <c r="K27" s="11"/>
    </row>
    <row r="28" spans="1:11" x14ac:dyDescent="0.3">
      <c r="A28" s="7">
        <v>0</v>
      </c>
      <c r="B28" s="4">
        <v>43179</v>
      </c>
      <c r="C28" s="17">
        <v>0</v>
      </c>
      <c r="D28" s="18">
        <v>50000</v>
      </c>
      <c r="E28" s="17">
        <v>0</v>
      </c>
      <c r="F28" s="17">
        <v>0</v>
      </c>
      <c r="G28" s="17">
        <v>0</v>
      </c>
      <c r="H28" s="20">
        <f t="shared" ref="H28:H63" si="0">SUM(C28:G28)</f>
        <v>50000</v>
      </c>
    </row>
    <row r="29" spans="1:11" x14ac:dyDescent="0.3">
      <c r="A29" s="7">
        <f t="shared" ref="A29:A64" si="1">A28+1</f>
        <v>1</v>
      </c>
      <c r="B29" s="8">
        <f>EDATE(B28,1)</f>
        <v>43210</v>
      </c>
      <c r="C29" s="15">
        <f>H28</f>
        <v>50000</v>
      </c>
      <c r="D29" s="15">
        <v>0</v>
      </c>
      <c r="E29" s="15">
        <f>C29*($E$25/12)</f>
        <v>406.25</v>
      </c>
      <c r="F29" s="15">
        <f>$F$26</f>
        <v>-1607.497050722433</v>
      </c>
      <c r="G29" s="22">
        <v>0</v>
      </c>
      <c r="H29" s="21">
        <f>SUM(C29:G29)</f>
        <v>48798.752949277565</v>
      </c>
    </row>
    <row r="30" spans="1:11" x14ac:dyDescent="0.3">
      <c r="A30" s="7">
        <f t="shared" si="1"/>
        <v>2</v>
      </c>
      <c r="B30" s="8">
        <f t="shared" ref="B30:B64" si="2">EDATE(B29,1)</f>
        <v>43240</v>
      </c>
      <c r="C30" s="15">
        <f t="shared" ref="C30:C64" si="3">H29</f>
        <v>48798.752949277565</v>
      </c>
      <c r="D30" s="15">
        <v>0</v>
      </c>
      <c r="E30" s="15">
        <f t="shared" ref="E30:E64" si="4">C30*($E$25/12)</f>
        <v>396.48986771288025</v>
      </c>
      <c r="F30" s="15">
        <f t="shared" ref="F30:F38" si="5">$F$26</f>
        <v>-1607.497050722433</v>
      </c>
      <c r="G30" s="22">
        <v>0</v>
      </c>
      <c r="H30" s="21">
        <f t="shared" si="0"/>
        <v>47587.74576626801</v>
      </c>
    </row>
    <row r="31" spans="1:11" x14ac:dyDescent="0.3">
      <c r="A31" s="7">
        <f t="shared" si="1"/>
        <v>3</v>
      </c>
      <c r="B31" s="8">
        <f t="shared" si="2"/>
        <v>43271</v>
      </c>
      <c r="C31" s="15">
        <f t="shared" si="3"/>
        <v>47587.74576626801</v>
      </c>
      <c r="D31" s="15">
        <v>0</v>
      </c>
      <c r="E31" s="15">
        <f t="shared" si="4"/>
        <v>386.65043435092758</v>
      </c>
      <c r="F31" s="15">
        <f t="shared" si="5"/>
        <v>-1607.497050722433</v>
      </c>
      <c r="G31" s="22">
        <v>0</v>
      </c>
      <c r="H31" s="21">
        <f t="shared" si="0"/>
        <v>46366.899149896504</v>
      </c>
    </row>
    <row r="32" spans="1:11" x14ac:dyDescent="0.3">
      <c r="A32" s="7">
        <f t="shared" si="1"/>
        <v>4</v>
      </c>
      <c r="B32" s="8">
        <f t="shared" si="2"/>
        <v>43301</v>
      </c>
      <c r="C32" s="15">
        <f t="shared" si="3"/>
        <v>46366.899149896504</v>
      </c>
      <c r="D32" s="15">
        <v>0</v>
      </c>
      <c r="E32" s="15">
        <f t="shared" si="4"/>
        <v>376.73105559290912</v>
      </c>
      <c r="F32" s="15">
        <f t="shared" si="5"/>
        <v>-1607.497050722433</v>
      </c>
      <c r="G32" s="22">
        <v>0</v>
      </c>
      <c r="H32" s="21">
        <f t="shared" si="0"/>
        <v>45136.133154766976</v>
      </c>
    </row>
    <row r="33" spans="1:8" x14ac:dyDescent="0.3">
      <c r="A33" s="7">
        <f t="shared" si="1"/>
        <v>5</v>
      </c>
      <c r="B33" s="8">
        <f t="shared" si="2"/>
        <v>43332</v>
      </c>
      <c r="C33" s="15">
        <f t="shared" si="3"/>
        <v>45136.133154766976</v>
      </c>
      <c r="D33" s="15">
        <v>0</v>
      </c>
      <c r="E33" s="15">
        <f t="shared" si="4"/>
        <v>366.7310818824817</v>
      </c>
      <c r="F33" s="15">
        <f t="shared" si="5"/>
        <v>-1607.497050722433</v>
      </c>
      <c r="G33" s="22">
        <v>0</v>
      </c>
      <c r="H33" s="21">
        <f t="shared" si="0"/>
        <v>43895.367185927025</v>
      </c>
    </row>
    <row r="34" spans="1:8" x14ac:dyDescent="0.3">
      <c r="A34" s="7">
        <f t="shared" si="1"/>
        <v>6</v>
      </c>
      <c r="B34" s="8">
        <f t="shared" si="2"/>
        <v>43363</v>
      </c>
      <c r="C34" s="15">
        <f t="shared" si="3"/>
        <v>43895.367185927025</v>
      </c>
      <c r="D34" s="15">
        <v>0</v>
      </c>
      <c r="E34" s="15">
        <f t="shared" si="4"/>
        <v>356.64985838565707</v>
      </c>
      <c r="F34" s="15">
        <f t="shared" si="5"/>
        <v>-1607.497050722433</v>
      </c>
      <c r="G34" s="22">
        <v>0</v>
      </c>
      <c r="H34" s="21">
        <f t="shared" si="0"/>
        <v>42644.519993590249</v>
      </c>
    </row>
    <row r="35" spans="1:8" x14ac:dyDescent="0.3">
      <c r="A35" s="7">
        <f t="shared" si="1"/>
        <v>7</v>
      </c>
      <c r="B35" s="8">
        <f t="shared" si="2"/>
        <v>43393</v>
      </c>
      <c r="C35" s="15">
        <f t="shared" si="3"/>
        <v>42644.519993590249</v>
      </c>
      <c r="D35" s="15">
        <v>0</v>
      </c>
      <c r="E35" s="15">
        <f t="shared" si="4"/>
        <v>346.48672494792078</v>
      </c>
      <c r="F35" s="15">
        <f t="shared" si="5"/>
        <v>-1607.497050722433</v>
      </c>
      <c r="G35" s="22">
        <v>0</v>
      </c>
      <c r="H35" s="21">
        <f t="shared" si="0"/>
        <v>41383.509667815735</v>
      </c>
    </row>
    <row r="36" spans="1:8" x14ac:dyDescent="0.3">
      <c r="A36" s="7">
        <f t="shared" si="1"/>
        <v>8</v>
      </c>
      <c r="B36" s="8">
        <f t="shared" si="2"/>
        <v>43424</v>
      </c>
      <c r="C36" s="15">
        <f t="shared" si="3"/>
        <v>41383.509667815735</v>
      </c>
      <c r="D36" s="15">
        <v>0</v>
      </c>
      <c r="E36" s="15">
        <f t="shared" si="4"/>
        <v>336.24101605100287</v>
      </c>
      <c r="F36" s="15">
        <f t="shared" si="5"/>
        <v>-1607.497050722433</v>
      </c>
      <c r="G36" s="22">
        <v>0</v>
      </c>
      <c r="H36" s="21">
        <f t="shared" si="0"/>
        <v>40112.253633144304</v>
      </c>
    </row>
    <row r="37" spans="1:8" x14ac:dyDescent="0.3">
      <c r="A37" s="7">
        <f t="shared" si="1"/>
        <v>9</v>
      </c>
      <c r="B37" s="8">
        <f t="shared" si="2"/>
        <v>43454</v>
      </c>
      <c r="C37" s="15">
        <f t="shared" si="3"/>
        <v>40112.253633144304</v>
      </c>
      <c r="D37" s="15">
        <v>0</v>
      </c>
      <c r="E37" s="15">
        <f t="shared" si="4"/>
        <v>325.91206076929751</v>
      </c>
      <c r="F37" s="15">
        <f t="shared" si="5"/>
        <v>-1607.497050722433</v>
      </c>
      <c r="G37" s="22">
        <v>0</v>
      </c>
      <c r="H37" s="21">
        <f t="shared" si="0"/>
        <v>38830.668643191166</v>
      </c>
    </row>
    <row r="38" spans="1:8" x14ac:dyDescent="0.3">
      <c r="A38" s="7">
        <f t="shared" si="1"/>
        <v>10</v>
      </c>
      <c r="B38" s="8">
        <f t="shared" si="2"/>
        <v>43485</v>
      </c>
      <c r="C38" s="15">
        <f t="shared" si="3"/>
        <v>38830.668643191166</v>
      </c>
      <c r="D38" s="15">
        <v>0</v>
      </c>
      <c r="E38" s="15">
        <f t="shared" si="4"/>
        <v>315.49918272592822</v>
      </c>
      <c r="F38" s="15">
        <f t="shared" si="5"/>
        <v>-1607.497050722433</v>
      </c>
      <c r="G38" s="22">
        <v>-10000</v>
      </c>
      <c r="H38" s="21">
        <f>SUM(C38:G38)</f>
        <v>27538.67077519466</v>
      </c>
    </row>
    <row r="39" spans="1:8" x14ac:dyDescent="0.3">
      <c r="A39" s="7">
        <f t="shared" si="1"/>
        <v>11</v>
      </c>
      <c r="B39" s="8">
        <f t="shared" si="2"/>
        <v>43516</v>
      </c>
      <c r="C39" s="38">
        <f t="shared" si="3"/>
        <v>27538.67077519466</v>
      </c>
      <c r="D39" s="38">
        <v>0</v>
      </c>
      <c r="E39" s="38">
        <f>C39*($E$25/12)</f>
        <v>223.75170004845663</v>
      </c>
      <c r="F39" s="38">
        <f>PMT($E$25/12,(36-10),C39)</f>
        <v>-1179.2727642661691</v>
      </c>
      <c r="G39" s="22">
        <v>0</v>
      </c>
      <c r="H39" s="39">
        <f t="shared" si="0"/>
        <v>26583.149710976944</v>
      </c>
    </row>
    <row r="40" spans="1:8" x14ac:dyDescent="0.3">
      <c r="A40" s="7">
        <f t="shared" si="1"/>
        <v>12</v>
      </c>
      <c r="B40" s="8">
        <f t="shared" si="2"/>
        <v>43544</v>
      </c>
      <c r="C40" s="15">
        <f t="shared" si="3"/>
        <v>26583.149710976944</v>
      </c>
      <c r="D40" s="15">
        <v>0</v>
      </c>
      <c r="E40" s="15">
        <f t="shared" si="4"/>
        <v>215.98809140168768</v>
      </c>
      <c r="F40" s="15">
        <f>F39</f>
        <v>-1179.2727642661691</v>
      </c>
      <c r="G40" s="22">
        <v>0</v>
      </c>
      <c r="H40" s="21">
        <f t="shared" si="0"/>
        <v>25619.865038112461</v>
      </c>
    </row>
    <row r="41" spans="1:8" x14ac:dyDescent="0.3">
      <c r="A41" s="7">
        <f t="shared" si="1"/>
        <v>13</v>
      </c>
      <c r="B41" s="8">
        <f t="shared" si="2"/>
        <v>43575</v>
      </c>
      <c r="C41" s="15">
        <f t="shared" si="3"/>
        <v>25619.865038112461</v>
      </c>
      <c r="D41" s="15">
        <v>0</v>
      </c>
      <c r="E41" s="15">
        <f t="shared" si="4"/>
        <v>208.16140343466375</v>
      </c>
      <c r="F41" s="15">
        <f t="shared" ref="F41:F64" si="6">F40</f>
        <v>-1179.2727642661691</v>
      </c>
      <c r="G41" s="22">
        <v>0</v>
      </c>
      <c r="H41" s="21">
        <f t="shared" si="0"/>
        <v>24648.753677280954</v>
      </c>
    </row>
    <row r="42" spans="1:8" x14ac:dyDescent="0.3">
      <c r="A42" s="7">
        <f t="shared" si="1"/>
        <v>14</v>
      </c>
      <c r="B42" s="8">
        <f t="shared" si="2"/>
        <v>43605</v>
      </c>
      <c r="C42" s="15">
        <f t="shared" si="3"/>
        <v>24648.753677280954</v>
      </c>
      <c r="D42" s="15">
        <v>0</v>
      </c>
      <c r="E42" s="15">
        <f t="shared" si="4"/>
        <v>200.27112362790777</v>
      </c>
      <c r="F42" s="15">
        <f t="shared" si="6"/>
        <v>-1179.2727642661691</v>
      </c>
      <c r="G42" s="22">
        <v>0</v>
      </c>
      <c r="H42" s="21">
        <f t="shared" si="0"/>
        <v>23669.752036642691</v>
      </c>
    </row>
    <row r="43" spans="1:8" x14ac:dyDescent="0.3">
      <c r="A43" s="7">
        <f t="shared" si="1"/>
        <v>15</v>
      </c>
      <c r="B43" s="8">
        <f t="shared" si="2"/>
        <v>43636</v>
      </c>
      <c r="C43" s="15">
        <f t="shared" si="3"/>
        <v>23669.752036642691</v>
      </c>
      <c r="D43" s="15">
        <v>0</v>
      </c>
      <c r="E43" s="15">
        <f t="shared" si="4"/>
        <v>192.31673529772186</v>
      </c>
      <c r="F43" s="15">
        <f t="shared" si="6"/>
        <v>-1179.2727642661691</v>
      </c>
      <c r="G43" s="22">
        <v>0</v>
      </c>
      <c r="H43" s="21">
        <f t="shared" si="0"/>
        <v>22682.796007674242</v>
      </c>
    </row>
    <row r="44" spans="1:8" x14ac:dyDescent="0.3">
      <c r="A44" s="7">
        <f t="shared" si="1"/>
        <v>16</v>
      </c>
      <c r="B44" s="8">
        <f t="shared" si="2"/>
        <v>43666</v>
      </c>
      <c r="C44" s="15">
        <f t="shared" si="3"/>
        <v>22682.796007674242</v>
      </c>
      <c r="D44" s="15">
        <v>0</v>
      </c>
      <c r="E44" s="15">
        <f t="shared" si="4"/>
        <v>184.29771756235323</v>
      </c>
      <c r="F44" s="15">
        <f t="shared" si="6"/>
        <v>-1179.2727642661691</v>
      </c>
      <c r="G44" s="22">
        <v>0</v>
      </c>
      <c r="H44" s="21">
        <f t="shared" si="0"/>
        <v>21687.820960970424</v>
      </c>
    </row>
    <row r="45" spans="1:8" x14ac:dyDescent="0.3">
      <c r="A45" s="7">
        <f t="shared" si="1"/>
        <v>17</v>
      </c>
      <c r="B45" s="8">
        <f t="shared" si="2"/>
        <v>43697</v>
      </c>
      <c r="C45" s="15">
        <f t="shared" si="3"/>
        <v>21687.820960970424</v>
      </c>
      <c r="D45" s="15">
        <v>0</v>
      </c>
      <c r="E45" s="15">
        <f t="shared" si="4"/>
        <v>176.21354530788471</v>
      </c>
      <c r="F45" s="15">
        <f t="shared" si="6"/>
        <v>-1179.2727642661691</v>
      </c>
      <c r="G45" s="22">
        <v>0</v>
      </c>
      <c r="H45" s="21">
        <f t="shared" si="0"/>
        <v>20684.761742012139</v>
      </c>
    </row>
    <row r="46" spans="1:8" x14ac:dyDescent="0.3">
      <c r="A46" s="7">
        <f t="shared" si="1"/>
        <v>18</v>
      </c>
      <c r="B46" s="8">
        <f t="shared" si="2"/>
        <v>43728</v>
      </c>
      <c r="C46" s="15">
        <f t="shared" si="3"/>
        <v>20684.761742012139</v>
      </c>
      <c r="D46" s="15">
        <v>0</v>
      </c>
      <c r="E46" s="15">
        <f t="shared" si="4"/>
        <v>168.06368915384863</v>
      </c>
      <c r="F46" s="15">
        <f t="shared" si="6"/>
        <v>-1179.2727642661691</v>
      </c>
      <c r="G46" s="22">
        <v>0</v>
      </c>
      <c r="H46" s="21">
        <f t="shared" si="0"/>
        <v>19673.552666899817</v>
      </c>
    </row>
    <row r="47" spans="1:8" x14ac:dyDescent="0.3">
      <c r="A47" s="7">
        <f t="shared" si="1"/>
        <v>19</v>
      </c>
      <c r="B47" s="8">
        <f t="shared" si="2"/>
        <v>43758</v>
      </c>
      <c r="C47" s="15">
        <f t="shared" si="3"/>
        <v>19673.552666899817</v>
      </c>
      <c r="D47" s="15">
        <v>0</v>
      </c>
      <c r="E47" s="15">
        <f t="shared" si="4"/>
        <v>159.84761541856102</v>
      </c>
      <c r="F47" s="15">
        <f t="shared" si="6"/>
        <v>-1179.2727642661691</v>
      </c>
      <c r="G47" s="22">
        <v>0</v>
      </c>
      <c r="H47" s="21">
        <f t="shared" si="0"/>
        <v>18654.12751805221</v>
      </c>
    </row>
    <row r="48" spans="1:8" x14ac:dyDescent="0.3">
      <c r="A48" s="7">
        <f t="shared" si="1"/>
        <v>20</v>
      </c>
      <c r="B48" s="8">
        <f t="shared" si="2"/>
        <v>43789</v>
      </c>
      <c r="C48" s="15">
        <f t="shared" si="3"/>
        <v>18654.12751805221</v>
      </c>
      <c r="D48" s="15">
        <v>0</v>
      </c>
      <c r="E48" s="15">
        <f t="shared" si="4"/>
        <v>151.56478608417422</v>
      </c>
      <c r="F48" s="15">
        <f t="shared" si="6"/>
        <v>-1179.2727642661691</v>
      </c>
      <c r="G48" s="22">
        <v>0</v>
      </c>
      <c r="H48" s="21">
        <f t="shared" si="0"/>
        <v>17626.419539870214</v>
      </c>
    </row>
    <row r="49" spans="1:8" x14ac:dyDescent="0.3">
      <c r="A49" s="7">
        <f t="shared" si="1"/>
        <v>21</v>
      </c>
      <c r="B49" s="8">
        <f t="shared" si="2"/>
        <v>43819</v>
      </c>
      <c r="C49" s="15">
        <f t="shared" si="3"/>
        <v>17626.419539870214</v>
      </c>
      <c r="D49" s="15">
        <v>0</v>
      </c>
      <c r="E49" s="15">
        <f t="shared" si="4"/>
        <v>143.21465876144549</v>
      </c>
      <c r="F49" s="15">
        <f t="shared" si="6"/>
        <v>-1179.2727642661691</v>
      </c>
      <c r="G49" s="22">
        <v>0</v>
      </c>
      <c r="H49" s="21">
        <f t="shared" si="0"/>
        <v>16590.361434365488</v>
      </c>
    </row>
    <row r="50" spans="1:8" x14ac:dyDescent="0.3">
      <c r="A50" s="7">
        <f t="shared" si="1"/>
        <v>22</v>
      </c>
      <c r="B50" s="8">
        <f t="shared" si="2"/>
        <v>43850</v>
      </c>
      <c r="C50" s="15">
        <f t="shared" si="3"/>
        <v>16590.361434365488</v>
      </c>
      <c r="D50" s="15">
        <v>0</v>
      </c>
      <c r="E50" s="15">
        <f t="shared" si="4"/>
        <v>134.7966866542196</v>
      </c>
      <c r="F50" s="15">
        <f t="shared" si="6"/>
        <v>-1179.2727642661691</v>
      </c>
      <c r="G50" s="22">
        <v>0</v>
      </c>
      <c r="H50" s="21">
        <f t="shared" si="0"/>
        <v>15545.885356753539</v>
      </c>
    </row>
    <row r="51" spans="1:8" x14ac:dyDescent="0.3">
      <c r="A51" s="7">
        <f t="shared" si="1"/>
        <v>23</v>
      </c>
      <c r="B51" s="8">
        <f t="shared" si="2"/>
        <v>43881</v>
      </c>
      <c r="C51" s="15">
        <f t="shared" si="3"/>
        <v>15545.885356753539</v>
      </c>
      <c r="D51" s="15">
        <v>0</v>
      </c>
      <c r="E51" s="15">
        <f t="shared" si="4"/>
        <v>126.31031852362251</v>
      </c>
      <c r="F51" s="15">
        <f t="shared" si="6"/>
        <v>-1179.2727642661691</v>
      </c>
      <c r="G51" s="22">
        <v>0</v>
      </c>
      <c r="H51" s="21">
        <f t="shared" si="0"/>
        <v>14492.922911010994</v>
      </c>
    </row>
    <row r="52" spans="1:8" x14ac:dyDescent="0.3">
      <c r="A52" s="7">
        <f t="shared" si="1"/>
        <v>24</v>
      </c>
      <c r="B52" s="8">
        <f t="shared" si="2"/>
        <v>43910</v>
      </c>
      <c r="C52" s="15">
        <f t="shared" si="3"/>
        <v>14492.922911010994</v>
      </c>
      <c r="D52" s="15">
        <v>0</v>
      </c>
      <c r="E52" s="15">
        <f t="shared" si="4"/>
        <v>117.75499865196433</v>
      </c>
      <c r="F52" s="15">
        <f t="shared" si="6"/>
        <v>-1179.2727642661691</v>
      </c>
      <c r="G52" s="22">
        <v>0</v>
      </c>
      <c r="H52" s="21">
        <f t="shared" si="0"/>
        <v>13431.40514539679</v>
      </c>
    </row>
    <row r="53" spans="1:8" x14ac:dyDescent="0.3">
      <c r="A53" s="7">
        <f t="shared" si="1"/>
        <v>25</v>
      </c>
      <c r="B53" s="8">
        <f t="shared" si="2"/>
        <v>43941</v>
      </c>
      <c r="C53" s="15">
        <f t="shared" si="3"/>
        <v>13431.40514539679</v>
      </c>
      <c r="D53" s="15">
        <v>0</v>
      </c>
      <c r="E53" s="15">
        <f t="shared" si="4"/>
        <v>109.13016680634892</v>
      </c>
      <c r="F53" s="15">
        <f t="shared" si="6"/>
        <v>-1179.2727642661691</v>
      </c>
      <c r="G53" s="22">
        <v>0</v>
      </c>
      <c r="H53" s="21">
        <f t="shared" si="0"/>
        <v>12361.262547936971</v>
      </c>
    </row>
    <row r="54" spans="1:8" x14ac:dyDescent="0.3">
      <c r="A54" s="7">
        <f t="shared" si="1"/>
        <v>26</v>
      </c>
      <c r="B54" s="8">
        <f t="shared" si="2"/>
        <v>43971</v>
      </c>
      <c r="C54" s="15">
        <f t="shared" si="3"/>
        <v>12361.262547936971</v>
      </c>
      <c r="D54" s="15">
        <v>0</v>
      </c>
      <c r="E54" s="15">
        <f t="shared" si="4"/>
        <v>100.43525820198789</v>
      </c>
      <c r="F54" s="15">
        <f t="shared" si="6"/>
        <v>-1179.2727642661691</v>
      </c>
      <c r="G54" s="22">
        <v>0</v>
      </c>
      <c r="H54" s="21">
        <f t="shared" si="0"/>
        <v>11282.42504187279</v>
      </c>
    </row>
    <row r="55" spans="1:8" x14ac:dyDescent="0.3">
      <c r="A55" s="7">
        <f t="shared" si="1"/>
        <v>27</v>
      </c>
      <c r="B55" s="8">
        <f t="shared" si="2"/>
        <v>44002</v>
      </c>
      <c r="C55" s="15">
        <f t="shared" si="3"/>
        <v>11282.42504187279</v>
      </c>
      <c r="D55" s="15">
        <v>0</v>
      </c>
      <c r="E55" s="15">
        <f t="shared" si="4"/>
        <v>91.669703465216415</v>
      </c>
      <c r="F55" s="15">
        <f t="shared" si="6"/>
        <v>-1179.2727642661691</v>
      </c>
      <c r="G55" s="22">
        <v>0</v>
      </c>
      <c r="H55" s="21">
        <f t="shared" si="0"/>
        <v>10194.821981071838</v>
      </c>
    </row>
    <row r="56" spans="1:8" x14ac:dyDescent="0.3">
      <c r="A56" s="7">
        <f t="shared" si="1"/>
        <v>28</v>
      </c>
      <c r="B56" s="8">
        <f t="shared" si="2"/>
        <v>44032</v>
      </c>
      <c r="C56" s="15">
        <f t="shared" si="3"/>
        <v>10194.821981071838</v>
      </c>
      <c r="D56" s="15">
        <v>0</v>
      </c>
      <c r="E56" s="15">
        <f t="shared" si="4"/>
        <v>82.832928596208689</v>
      </c>
      <c r="F56" s="15">
        <f t="shared" si="6"/>
        <v>-1179.2727642661691</v>
      </c>
      <c r="G56" s="22">
        <v>0</v>
      </c>
      <c r="H56" s="21">
        <f t="shared" si="0"/>
        <v>9098.382145401878</v>
      </c>
    </row>
    <row r="57" spans="1:8" x14ac:dyDescent="0.3">
      <c r="A57" s="7">
        <f t="shared" si="1"/>
        <v>29</v>
      </c>
      <c r="B57" s="8">
        <f t="shared" si="2"/>
        <v>44063</v>
      </c>
      <c r="C57" s="15">
        <f t="shared" si="3"/>
        <v>9098.382145401878</v>
      </c>
      <c r="D57" s="15">
        <v>0</v>
      </c>
      <c r="E57" s="15">
        <f t="shared" si="4"/>
        <v>73.924354931390255</v>
      </c>
      <c r="F57" s="15">
        <f t="shared" si="6"/>
        <v>-1179.2727642661691</v>
      </c>
      <c r="G57" s="22">
        <v>0</v>
      </c>
      <c r="H57" s="21">
        <f t="shared" si="0"/>
        <v>7993.0337360670992</v>
      </c>
    </row>
    <row r="58" spans="1:8" x14ac:dyDescent="0.3">
      <c r="A58" s="7">
        <f t="shared" si="1"/>
        <v>30</v>
      </c>
      <c r="B58" s="8">
        <f t="shared" si="2"/>
        <v>44094</v>
      </c>
      <c r="C58" s="15">
        <f t="shared" si="3"/>
        <v>7993.0337360670992</v>
      </c>
      <c r="D58" s="15">
        <v>0</v>
      </c>
      <c r="E58" s="15">
        <f t="shared" si="4"/>
        <v>64.943399105545183</v>
      </c>
      <c r="F58" s="15">
        <f t="shared" si="6"/>
        <v>-1179.2727642661691</v>
      </c>
      <c r="G58" s="22">
        <v>0</v>
      </c>
      <c r="H58" s="21">
        <f t="shared" si="0"/>
        <v>6878.7043709064747</v>
      </c>
    </row>
    <row r="59" spans="1:8" x14ac:dyDescent="0.3">
      <c r="A59" s="7">
        <f t="shared" si="1"/>
        <v>31</v>
      </c>
      <c r="B59" s="8">
        <f t="shared" si="2"/>
        <v>44124</v>
      </c>
      <c r="C59" s="15">
        <f t="shared" si="3"/>
        <v>6878.7043709064747</v>
      </c>
      <c r="D59" s="15">
        <v>0</v>
      </c>
      <c r="E59" s="15">
        <f t="shared" si="4"/>
        <v>55.88947301361511</v>
      </c>
      <c r="F59" s="15">
        <f t="shared" si="6"/>
        <v>-1179.2727642661691</v>
      </c>
      <c r="G59" s="22">
        <v>0</v>
      </c>
      <c r="H59" s="21">
        <f t="shared" si="0"/>
        <v>5755.3210796539206</v>
      </c>
    </row>
    <row r="60" spans="1:8" x14ac:dyDescent="0.3">
      <c r="A60" s="7">
        <f t="shared" si="1"/>
        <v>32</v>
      </c>
      <c r="B60" s="8">
        <f t="shared" si="2"/>
        <v>44155</v>
      </c>
      <c r="C60" s="15">
        <f t="shared" si="3"/>
        <v>5755.3210796539206</v>
      </c>
      <c r="D60" s="15">
        <v>0</v>
      </c>
      <c r="E60" s="15">
        <f t="shared" si="4"/>
        <v>46.76198377218811</v>
      </c>
      <c r="F60" s="15">
        <f t="shared" si="6"/>
        <v>-1179.2727642661691</v>
      </c>
      <c r="G60" s="22">
        <v>0</v>
      </c>
      <c r="H60" s="21">
        <f t="shared" si="0"/>
        <v>4622.8102991599389</v>
      </c>
    </row>
    <row r="61" spans="1:8" x14ac:dyDescent="0.3">
      <c r="A61" s="7">
        <f t="shared" si="1"/>
        <v>33</v>
      </c>
      <c r="B61" s="8">
        <f t="shared" si="2"/>
        <v>44185</v>
      </c>
      <c r="C61" s="15">
        <f t="shared" si="3"/>
        <v>4622.8102991599389</v>
      </c>
      <c r="D61" s="15">
        <v>0</v>
      </c>
      <c r="E61" s="15">
        <f t="shared" si="4"/>
        <v>37.560333680674503</v>
      </c>
      <c r="F61" s="15">
        <f t="shared" si="6"/>
        <v>-1179.2727642661691</v>
      </c>
      <c r="G61" s="22">
        <v>0</v>
      </c>
      <c r="H61" s="21">
        <f t="shared" si="0"/>
        <v>3481.097868574444</v>
      </c>
    </row>
    <row r="62" spans="1:8" x14ac:dyDescent="0.3">
      <c r="A62" s="7">
        <f t="shared" si="1"/>
        <v>34</v>
      </c>
      <c r="B62" s="8">
        <f t="shared" si="2"/>
        <v>44216</v>
      </c>
      <c r="C62" s="15">
        <f t="shared" si="3"/>
        <v>3481.097868574444</v>
      </c>
      <c r="D62" s="15">
        <v>0</v>
      </c>
      <c r="E62" s="15">
        <f t="shared" si="4"/>
        <v>28.283920182167357</v>
      </c>
      <c r="F62" s="15">
        <f t="shared" si="6"/>
        <v>-1179.2727642661691</v>
      </c>
      <c r="G62" s="22">
        <v>0</v>
      </c>
      <c r="H62" s="21">
        <f t="shared" si="0"/>
        <v>2330.1090244904426</v>
      </c>
    </row>
    <row r="63" spans="1:8" x14ac:dyDescent="0.3">
      <c r="A63" s="7">
        <f t="shared" si="1"/>
        <v>35</v>
      </c>
      <c r="B63" s="8">
        <f t="shared" si="2"/>
        <v>44247</v>
      </c>
      <c r="C63" s="15">
        <f t="shared" si="3"/>
        <v>2330.1090244904426</v>
      </c>
      <c r="D63" s="15">
        <v>0</v>
      </c>
      <c r="E63" s="15">
        <f t="shared" si="4"/>
        <v>18.932135823984847</v>
      </c>
      <c r="F63" s="15">
        <f t="shared" si="6"/>
        <v>-1179.2727642661691</v>
      </c>
      <c r="G63" s="22">
        <v>0</v>
      </c>
      <c r="H63" s="21">
        <f t="shared" si="0"/>
        <v>1169.7683960482584</v>
      </c>
    </row>
    <row r="64" spans="1:8" x14ac:dyDescent="0.3">
      <c r="A64" s="7">
        <f t="shared" si="1"/>
        <v>36</v>
      </c>
      <c r="B64" s="8">
        <f t="shared" si="2"/>
        <v>44275</v>
      </c>
      <c r="C64" s="15">
        <f t="shared" si="3"/>
        <v>1169.7683960482584</v>
      </c>
      <c r="D64" s="15">
        <v>0</v>
      </c>
      <c r="E64" s="15">
        <f t="shared" si="4"/>
        <v>9.5043682178921003</v>
      </c>
      <c r="F64" s="15">
        <f t="shared" si="6"/>
        <v>-1179.2727642661691</v>
      </c>
      <c r="G64" s="22">
        <v>0</v>
      </c>
      <c r="H64" s="21">
        <f>SUM(C64:G64)</f>
        <v>-1.8644641386345029E-11</v>
      </c>
    </row>
    <row r="66" spans="1:20" x14ac:dyDescent="0.3">
      <c r="A66" s="14" t="s">
        <v>10</v>
      </c>
      <c r="B66" s="5"/>
      <c r="C66" s="5"/>
      <c r="D66" s="40">
        <f>SUM(D28:D64)</f>
        <v>50000</v>
      </c>
      <c r="E66" s="40">
        <f>SUM(E28:E64)</f>
        <v>6736.0623781447339</v>
      </c>
      <c r="F66" s="41">
        <f>SUM(F28:F64)</f>
        <v>-46736.062378144758</v>
      </c>
      <c r="G66" s="40">
        <f>SUM(G28:G64)</f>
        <v>-10000</v>
      </c>
      <c r="H66" s="5"/>
    </row>
    <row r="69" spans="1:20" x14ac:dyDescent="0.3">
      <c r="A69" s="1"/>
      <c r="B69" s="2" t="s">
        <v>35</v>
      </c>
      <c r="C69" s="1"/>
      <c r="D69" s="1"/>
      <c r="E69" s="1"/>
      <c r="F69" s="1"/>
      <c r="G69" s="1"/>
      <c r="H69" s="1"/>
      <c r="I69" s="1"/>
      <c r="J69" s="1"/>
      <c r="K69" s="1"/>
      <c r="L69" s="1"/>
      <c r="M69" s="1"/>
      <c r="N69" s="1"/>
      <c r="O69" s="1"/>
      <c r="P69" s="1"/>
      <c r="Q69" s="1"/>
      <c r="R69" s="1"/>
      <c r="S69" s="1"/>
      <c r="T69" s="1"/>
    </row>
    <row r="70" spans="1:20" hidden="1" x14ac:dyDescent="0.3"/>
    <row r="71" spans="1:20" ht="103.2" hidden="1" customHeight="1" x14ac:dyDescent="0.3"/>
    <row r="72" spans="1:20" hidden="1" x14ac:dyDescent="0.3"/>
    <row r="73" spans="1:20" hidden="1" x14ac:dyDescent="0.3"/>
    <row r="74" spans="1:20" hidden="1" x14ac:dyDescent="0.3"/>
    <row r="75" spans="1:20" hidden="1" x14ac:dyDescent="0.3"/>
    <row r="76" spans="1:20" hidden="1" x14ac:dyDescent="0.3"/>
    <row r="77" spans="1:20" hidden="1" x14ac:dyDescent="0.3"/>
    <row r="78" spans="1:20" hidden="1" x14ac:dyDescent="0.3"/>
    <row r="79" spans="1:20" hidden="1" x14ac:dyDescent="0.3"/>
    <row r="80" spans="1:20" x14ac:dyDescent="0.3">
      <c r="A80" s="3"/>
    </row>
    <row r="81" spans="1:11" x14ac:dyDescent="0.3">
      <c r="A81" s="3"/>
      <c r="B81" t="s">
        <v>14</v>
      </c>
      <c r="D81" s="13"/>
      <c r="E81" s="25">
        <v>450</v>
      </c>
      <c r="F81" s="3"/>
    </row>
    <row r="82" spans="1:11" x14ac:dyDescent="0.3">
      <c r="A82" s="3"/>
      <c r="D82" s="13"/>
      <c r="E82" s="42"/>
      <c r="F82" s="3"/>
    </row>
    <row r="83" spans="1:11" x14ac:dyDescent="0.3">
      <c r="A83" s="3"/>
      <c r="D83" s="13"/>
      <c r="E83" s="42"/>
      <c r="F83" s="3"/>
    </row>
    <row r="84" spans="1:11" x14ac:dyDescent="0.3">
      <c r="A84" s="3"/>
      <c r="D84" s="13"/>
      <c r="E84" s="13"/>
      <c r="F84" s="3"/>
    </row>
    <row r="85" spans="1:11" ht="28.8" x14ac:dyDescent="0.3">
      <c r="A85" s="9" t="s">
        <v>3</v>
      </c>
      <c r="B85" s="10" t="s">
        <v>13</v>
      </c>
      <c r="C85" s="10" t="s">
        <v>4</v>
      </c>
      <c r="D85" s="10" t="s">
        <v>6</v>
      </c>
      <c r="E85" s="10" t="s">
        <v>15</v>
      </c>
      <c r="F85" s="10" t="s">
        <v>7</v>
      </c>
      <c r="I85" s="24"/>
      <c r="J85" s="3"/>
      <c r="K85" s="3"/>
    </row>
    <row r="86" spans="1:11" x14ac:dyDescent="0.3">
      <c r="A86" s="7">
        <v>0</v>
      </c>
      <c r="B86" s="4">
        <v>43179</v>
      </c>
      <c r="C86" s="17">
        <v>0</v>
      </c>
      <c r="D86" s="17">
        <v>0</v>
      </c>
      <c r="E86" s="18">
        <v>-10000</v>
      </c>
      <c r="F86" s="20">
        <f t="shared" ref="F86:F108" si="7">SUM(C86:E86)</f>
        <v>-10000</v>
      </c>
    </row>
    <row r="87" spans="1:11" x14ac:dyDescent="0.3">
      <c r="A87" s="7">
        <f t="shared" ref="A87:A110" si="8">A86+1</f>
        <v>1</v>
      </c>
      <c r="B87" s="8">
        <f>EDATE(B86,1)</f>
        <v>43210</v>
      </c>
      <c r="C87" s="19">
        <f t="shared" ref="C87:C110" si="9">F86</f>
        <v>-10000</v>
      </c>
      <c r="D87" s="15">
        <f t="shared" ref="D87:D110" si="10">C87*$E$115*_xlfn.DAYS(B87,B86)/365</f>
        <v>-63.706238596010849</v>
      </c>
      <c r="E87" s="19">
        <f t="shared" ref="E87:E110" si="11">$E$81</f>
        <v>450</v>
      </c>
      <c r="F87" s="27">
        <f>SUM(C87:E87)</f>
        <v>-9613.7062385960107</v>
      </c>
    </row>
    <row r="88" spans="1:11" x14ac:dyDescent="0.3">
      <c r="A88" s="7">
        <f t="shared" si="8"/>
        <v>2</v>
      </c>
      <c r="B88" s="8">
        <f t="shared" ref="B88:B110" si="12">EDATE(B87,1)</f>
        <v>43240</v>
      </c>
      <c r="C88" s="19">
        <f t="shared" si="9"/>
        <v>-9613.7062385960107</v>
      </c>
      <c r="D88" s="15">
        <f t="shared" si="10"/>
        <v>-59.26965129947957</v>
      </c>
      <c r="E88" s="19">
        <f t="shared" si="11"/>
        <v>450</v>
      </c>
      <c r="F88" s="27">
        <f t="shared" si="7"/>
        <v>-9222.9758898954897</v>
      </c>
    </row>
    <row r="89" spans="1:11" x14ac:dyDescent="0.3">
      <c r="A89" s="7">
        <f t="shared" si="8"/>
        <v>3</v>
      </c>
      <c r="B89" s="8">
        <f t="shared" si="12"/>
        <v>43271</v>
      </c>
      <c r="C89" s="19">
        <f t="shared" si="9"/>
        <v>-9222.9758898954897</v>
      </c>
      <c r="D89" s="15">
        <f t="shared" si="10"/>
        <v>-58.75611026069376</v>
      </c>
      <c r="E89" s="19">
        <f t="shared" si="11"/>
        <v>450</v>
      </c>
      <c r="F89" s="27">
        <f t="shared" si="7"/>
        <v>-8831.7320001561839</v>
      </c>
    </row>
    <row r="90" spans="1:11" x14ac:dyDescent="0.3">
      <c r="A90" s="7">
        <f t="shared" si="8"/>
        <v>4</v>
      </c>
      <c r="B90" s="8">
        <f t="shared" si="12"/>
        <v>43301</v>
      </c>
      <c r="C90" s="19">
        <f t="shared" si="9"/>
        <v>-8831.7320001561839</v>
      </c>
      <c r="D90" s="15">
        <f t="shared" si="10"/>
        <v>-54.448686388836201</v>
      </c>
      <c r="E90" s="19">
        <f t="shared" si="11"/>
        <v>450</v>
      </c>
      <c r="F90" s="27">
        <f t="shared" si="7"/>
        <v>-8436.1806865450199</v>
      </c>
    </row>
    <row r="91" spans="1:11" x14ac:dyDescent="0.3">
      <c r="A91" s="7">
        <f t="shared" si="8"/>
        <v>5</v>
      </c>
      <c r="B91" s="8">
        <f t="shared" si="12"/>
        <v>43332</v>
      </c>
      <c r="C91" s="19">
        <f t="shared" si="9"/>
        <v>-8436.1806865450199</v>
      </c>
      <c r="D91" s="15">
        <f t="shared" si="10"/>
        <v>-53.743733965609572</v>
      </c>
      <c r="E91" s="19">
        <f t="shared" si="11"/>
        <v>450</v>
      </c>
      <c r="F91" s="27">
        <f t="shared" si="7"/>
        <v>-8039.9244205106297</v>
      </c>
    </row>
    <row r="92" spans="1:11" x14ac:dyDescent="0.3">
      <c r="A92" s="7">
        <f t="shared" si="8"/>
        <v>6</v>
      </c>
      <c r="B92" s="8">
        <f t="shared" si="12"/>
        <v>43363</v>
      </c>
      <c r="C92" s="19">
        <f t="shared" si="9"/>
        <v>-8039.9244205106297</v>
      </c>
      <c r="D92" s="15">
        <f t="shared" si="10"/>
        <v>-51.219334342694452</v>
      </c>
      <c r="E92" s="19">
        <f t="shared" si="11"/>
        <v>450</v>
      </c>
      <c r="F92" s="27">
        <f t="shared" si="7"/>
        <v>-7641.143754853324</v>
      </c>
    </row>
    <row r="93" spans="1:11" x14ac:dyDescent="0.3">
      <c r="A93" s="7">
        <f t="shared" si="8"/>
        <v>7</v>
      </c>
      <c r="B93" s="8">
        <f t="shared" si="12"/>
        <v>43393</v>
      </c>
      <c r="C93" s="19">
        <f t="shared" si="9"/>
        <v>-7641.143754853324</v>
      </c>
      <c r="D93" s="15">
        <f t="shared" si="10"/>
        <v>-47.108567147719761</v>
      </c>
      <c r="E93" s="19">
        <f t="shared" si="11"/>
        <v>450</v>
      </c>
      <c r="F93" s="27">
        <f t="shared" si="7"/>
        <v>-7238.2523220010435</v>
      </c>
    </row>
    <row r="94" spans="1:11" x14ac:dyDescent="0.3">
      <c r="A94" s="7">
        <f t="shared" si="8"/>
        <v>8</v>
      </c>
      <c r="B94" s="8">
        <f t="shared" si="12"/>
        <v>43424</v>
      </c>
      <c r="C94" s="19">
        <f t="shared" si="9"/>
        <v>-7238.2523220010435</v>
      </c>
      <c r="D94" s="15">
        <f t="shared" si="10"/>
        <v>-46.11218294435281</v>
      </c>
      <c r="E94" s="19">
        <f t="shared" si="11"/>
        <v>450</v>
      </c>
      <c r="F94" s="27">
        <f t="shared" si="7"/>
        <v>-6834.3645049453962</v>
      </c>
    </row>
    <row r="95" spans="1:11" x14ac:dyDescent="0.3">
      <c r="A95" s="7">
        <f t="shared" si="8"/>
        <v>9</v>
      </c>
      <c r="B95" s="8">
        <f t="shared" si="12"/>
        <v>43454</v>
      </c>
      <c r="C95" s="19">
        <f t="shared" si="9"/>
        <v>-6834.3645049453962</v>
      </c>
      <c r="D95" s="15">
        <f t="shared" si="10"/>
        <v>-42.134676368144426</v>
      </c>
      <c r="E95" s="19">
        <f t="shared" si="11"/>
        <v>450</v>
      </c>
      <c r="F95" s="27">
        <f t="shared" si="7"/>
        <v>-6426.4991813135402</v>
      </c>
    </row>
    <row r="96" spans="1:11" x14ac:dyDescent="0.3">
      <c r="A96" s="7">
        <f t="shared" si="8"/>
        <v>10</v>
      </c>
      <c r="B96" s="8">
        <f t="shared" si="12"/>
        <v>43485</v>
      </c>
      <c r="C96" s="19">
        <f t="shared" si="9"/>
        <v>-6426.4991813135402</v>
      </c>
      <c r="D96" s="15">
        <f t="shared" si="10"/>
        <v>-40.940809018182883</v>
      </c>
      <c r="E96" s="19">
        <f t="shared" si="11"/>
        <v>450</v>
      </c>
      <c r="F96" s="27">
        <f t="shared" si="7"/>
        <v>-6017.4399903317235</v>
      </c>
    </row>
    <row r="97" spans="1:8" x14ac:dyDescent="0.3">
      <c r="A97" s="7">
        <f t="shared" si="8"/>
        <v>11</v>
      </c>
      <c r="B97" s="8">
        <f t="shared" si="12"/>
        <v>43516</v>
      </c>
      <c r="C97" s="19">
        <f t="shared" si="9"/>
        <v>-6017.4399903317235</v>
      </c>
      <c r="D97" s="15">
        <f t="shared" si="10"/>
        <v>-38.334846776124998</v>
      </c>
      <c r="E97" s="19">
        <f t="shared" si="11"/>
        <v>450</v>
      </c>
      <c r="F97" s="27">
        <f t="shared" si="7"/>
        <v>-5605.7748371078487</v>
      </c>
    </row>
    <row r="98" spans="1:8" x14ac:dyDescent="0.3">
      <c r="A98" s="7">
        <f t="shared" si="8"/>
        <v>12</v>
      </c>
      <c r="B98" s="8">
        <f t="shared" si="12"/>
        <v>43544</v>
      </c>
      <c r="C98" s="19">
        <f t="shared" si="9"/>
        <v>-5605.7748371078487</v>
      </c>
      <c r="D98" s="15">
        <f t="shared" si="10"/>
        <v>-32.256255548621233</v>
      </c>
      <c r="E98" s="19">
        <f t="shared" si="11"/>
        <v>450</v>
      </c>
      <c r="F98" s="27">
        <f t="shared" si="7"/>
        <v>-5188.0310926564698</v>
      </c>
    </row>
    <row r="99" spans="1:8" x14ac:dyDescent="0.3">
      <c r="A99" s="7">
        <f t="shared" si="8"/>
        <v>13</v>
      </c>
      <c r="B99" s="8">
        <f t="shared" si="12"/>
        <v>43575</v>
      </c>
      <c r="C99" s="19">
        <f t="shared" si="9"/>
        <v>-5188.0310926564698</v>
      </c>
      <c r="D99" s="15">
        <f t="shared" si="10"/>
        <v>-33.050994663229595</v>
      </c>
      <c r="E99" s="19">
        <f t="shared" si="11"/>
        <v>450</v>
      </c>
      <c r="F99" s="27">
        <f t="shared" si="7"/>
        <v>-4771.082087319699</v>
      </c>
    </row>
    <row r="100" spans="1:8" x14ac:dyDescent="0.3">
      <c r="A100" s="7">
        <f t="shared" si="8"/>
        <v>14</v>
      </c>
      <c r="B100" s="8">
        <f t="shared" si="12"/>
        <v>43605</v>
      </c>
      <c r="C100" s="19">
        <f t="shared" si="9"/>
        <v>-4771.082087319699</v>
      </c>
      <c r="D100" s="15">
        <f t="shared" si="10"/>
        <v>-29.414292949929894</v>
      </c>
      <c r="E100" s="19">
        <f t="shared" si="11"/>
        <v>450</v>
      </c>
      <c r="F100" s="27">
        <f t="shared" si="7"/>
        <v>-4350.4963802696293</v>
      </c>
    </row>
    <row r="101" spans="1:8" x14ac:dyDescent="0.3">
      <c r="A101" s="7">
        <f t="shared" si="8"/>
        <v>15</v>
      </c>
      <c r="B101" s="8">
        <f t="shared" si="12"/>
        <v>43636</v>
      </c>
      <c r="C101" s="19">
        <f t="shared" si="9"/>
        <v>-4350.4963802696293</v>
      </c>
      <c r="D101" s="15">
        <f t="shared" si="10"/>
        <v>-27.715376041253858</v>
      </c>
      <c r="E101" s="19">
        <f t="shared" si="11"/>
        <v>450</v>
      </c>
      <c r="F101" s="27">
        <f t="shared" si="7"/>
        <v>-3928.2117563108832</v>
      </c>
    </row>
    <row r="102" spans="1:8" x14ac:dyDescent="0.3">
      <c r="A102" s="7">
        <f t="shared" si="8"/>
        <v>16</v>
      </c>
      <c r="B102" s="8">
        <f t="shared" si="12"/>
        <v>43666</v>
      </c>
      <c r="C102" s="19">
        <f t="shared" si="9"/>
        <v>-3928.2117563108832</v>
      </c>
      <c r="D102" s="15">
        <f t="shared" si="10"/>
        <v>-24.217896329341546</v>
      </c>
      <c r="E102" s="19">
        <f t="shared" si="11"/>
        <v>450</v>
      </c>
      <c r="F102" s="27">
        <f t="shared" si="7"/>
        <v>-3502.4296526402245</v>
      </c>
    </row>
    <row r="103" spans="1:8" x14ac:dyDescent="0.3">
      <c r="A103" s="7">
        <f t="shared" si="8"/>
        <v>17</v>
      </c>
      <c r="B103" s="8">
        <f t="shared" si="12"/>
        <v>43697</v>
      </c>
      <c r="C103" s="19">
        <f t="shared" si="9"/>
        <v>-3502.4296526402245</v>
      </c>
      <c r="D103" s="15">
        <f t="shared" si="10"/>
        <v>-22.312661911684156</v>
      </c>
      <c r="E103" s="19">
        <f t="shared" si="11"/>
        <v>450</v>
      </c>
      <c r="F103" s="27">
        <f t="shared" si="7"/>
        <v>-3074.7423145519087</v>
      </c>
    </row>
    <row r="104" spans="1:8" x14ac:dyDescent="0.3">
      <c r="A104" s="7">
        <f t="shared" si="8"/>
        <v>18</v>
      </c>
      <c r="B104" s="8">
        <f t="shared" si="12"/>
        <v>43728</v>
      </c>
      <c r="C104" s="19">
        <f t="shared" si="9"/>
        <v>-3074.7423145519087</v>
      </c>
      <c r="D104" s="15">
        <f t="shared" si="10"/>
        <v>-19.588026751209455</v>
      </c>
      <c r="E104" s="19">
        <f t="shared" si="11"/>
        <v>450</v>
      </c>
      <c r="F104" s="27">
        <f t="shared" si="7"/>
        <v>-2644.3303413031181</v>
      </c>
    </row>
    <row r="105" spans="1:8" x14ac:dyDescent="0.3">
      <c r="A105" s="7">
        <f t="shared" si="8"/>
        <v>19</v>
      </c>
      <c r="B105" s="8">
        <f t="shared" si="12"/>
        <v>43758</v>
      </c>
      <c r="C105" s="19">
        <f t="shared" si="9"/>
        <v>-2644.3303413031181</v>
      </c>
      <c r="D105" s="15">
        <f t="shared" si="10"/>
        <v>-16.302613514489735</v>
      </c>
      <c r="E105" s="19">
        <f t="shared" si="11"/>
        <v>450</v>
      </c>
      <c r="F105" s="27">
        <f t="shared" si="7"/>
        <v>-2210.6329548176077</v>
      </c>
    </row>
    <row r="106" spans="1:8" x14ac:dyDescent="0.3">
      <c r="A106" s="7">
        <f t="shared" si="8"/>
        <v>20</v>
      </c>
      <c r="B106" s="8">
        <f t="shared" si="12"/>
        <v>43789</v>
      </c>
      <c r="C106" s="19">
        <f t="shared" si="9"/>
        <v>-2210.6329548176077</v>
      </c>
      <c r="D106" s="15">
        <f t="shared" si="10"/>
        <v>-14.083111046781502</v>
      </c>
      <c r="E106" s="19">
        <f t="shared" si="11"/>
        <v>450</v>
      </c>
      <c r="F106" s="27">
        <f t="shared" si="7"/>
        <v>-1774.7160658643893</v>
      </c>
    </row>
    <row r="107" spans="1:8" x14ac:dyDescent="0.3">
      <c r="A107" s="7">
        <f t="shared" si="8"/>
        <v>21</v>
      </c>
      <c r="B107" s="8">
        <f t="shared" si="12"/>
        <v>43819</v>
      </c>
      <c r="C107" s="19">
        <f t="shared" si="9"/>
        <v>-1774.7160658643893</v>
      </c>
      <c r="D107" s="15">
        <f t="shared" si="10"/>
        <v>-10.94133727085134</v>
      </c>
      <c r="E107" s="19">
        <f t="shared" si="11"/>
        <v>450</v>
      </c>
      <c r="F107" s="27">
        <f t="shared" si="7"/>
        <v>-1335.6574031352407</v>
      </c>
    </row>
    <row r="108" spans="1:8" x14ac:dyDescent="0.3">
      <c r="A108" s="7">
        <f t="shared" si="8"/>
        <v>22</v>
      </c>
      <c r="B108" s="8">
        <f t="shared" si="12"/>
        <v>43850</v>
      </c>
      <c r="C108" s="19">
        <f t="shared" si="9"/>
        <v>-1335.6574031352407</v>
      </c>
      <c r="D108" s="15">
        <f t="shared" si="10"/>
        <v>-8.5089709206661901</v>
      </c>
      <c r="E108" s="19">
        <f t="shared" si="11"/>
        <v>450</v>
      </c>
      <c r="F108" s="27">
        <f t="shared" si="7"/>
        <v>-894.16637405590677</v>
      </c>
    </row>
    <row r="109" spans="1:8" x14ac:dyDescent="0.3">
      <c r="A109" s="7">
        <f t="shared" si="8"/>
        <v>23</v>
      </c>
      <c r="B109" s="8">
        <f t="shared" si="12"/>
        <v>43881</v>
      </c>
      <c r="C109" s="19">
        <f t="shared" si="9"/>
        <v>-894.16637405590677</v>
      </c>
      <c r="D109" s="15">
        <f t="shared" si="10"/>
        <v>-5.6963976370135487</v>
      </c>
      <c r="E109" s="19">
        <f t="shared" si="11"/>
        <v>450</v>
      </c>
      <c r="F109" s="27">
        <f>SUM(C109:E109)</f>
        <v>-449.86277169292032</v>
      </c>
    </row>
    <row r="110" spans="1:8" x14ac:dyDescent="0.3">
      <c r="A110" s="7">
        <f t="shared" si="8"/>
        <v>24</v>
      </c>
      <c r="B110" s="8">
        <f t="shared" si="12"/>
        <v>43910</v>
      </c>
      <c r="C110" s="19">
        <f t="shared" si="9"/>
        <v>-449.86277169292032</v>
      </c>
      <c r="D110" s="15">
        <f t="shared" si="10"/>
        <v>-2.6810093129000849</v>
      </c>
      <c r="E110" s="19">
        <f t="shared" si="11"/>
        <v>450</v>
      </c>
      <c r="F110" s="27">
        <f>SUM(C110:E110)</f>
        <v>-2.5437810058203922</v>
      </c>
      <c r="H110" s="3"/>
    </row>
    <row r="112" spans="1:8" x14ac:dyDescent="0.3">
      <c r="A112" s="14" t="s">
        <v>10</v>
      </c>
      <c r="B112" s="5"/>
      <c r="C112" s="5"/>
      <c r="D112" s="40">
        <f>SUM(D86:D110)</f>
        <v>-802.54378100582142</v>
      </c>
      <c r="E112" s="41">
        <f>SUM(E86:E110)</f>
        <v>800</v>
      </c>
      <c r="F112" s="23"/>
    </row>
    <row r="114" spans="1:20" x14ac:dyDescent="0.3">
      <c r="B114" s="3" t="s">
        <v>17</v>
      </c>
      <c r="E114" s="26">
        <f>IRR(E86:E110)</f>
        <v>6.2507465289096675E-3</v>
      </c>
    </row>
    <row r="115" spans="1:20" x14ac:dyDescent="0.3">
      <c r="B115" s="3" t="s">
        <v>16</v>
      </c>
      <c r="E115" s="26">
        <f>E114*12</f>
        <v>7.500895834691601E-2</v>
      </c>
      <c r="F115" s="3"/>
    </row>
    <row r="116" spans="1:20" x14ac:dyDescent="0.3">
      <c r="B116" s="3"/>
    </row>
    <row r="117" spans="1:20" x14ac:dyDescent="0.3">
      <c r="B117" s="3"/>
    </row>
    <row r="118" spans="1:20" x14ac:dyDescent="0.3">
      <c r="A118" s="3"/>
      <c r="B118" s="3" t="s">
        <v>18</v>
      </c>
      <c r="E118" s="16">
        <f>NPV(E119/12,E87:E110)+E86</f>
        <v>362.71287327394384</v>
      </c>
      <c r="F118" s="3"/>
    </row>
    <row r="119" spans="1:20" x14ac:dyDescent="0.3">
      <c r="B119" s="3" t="s">
        <v>19</v>
      </c>
      <c r="E119" s="12">
        <f>4%</f>
        <v>0.04</v>
      </c>
    </row>
    <row r="121" spans="1:20" x14ac:dyDescent="0.3">
      <c r="A121" s="1"/>
      <c r="B121" s="2" t="s">
        <v>37</v>
      </c>
      <c r="C121" s="1"/>
      <c r="D121" s="1"/>
      <c r="E121" s="1"/>
      <c r="F121" s="1"/>
      <c r="G121" s="1"/>
      <c r="H121" s="1"/>
      <c r="I121" s="1"/>
      <c r="J121" s="1"/>
      <c r="K121" s="1"/>
      <c r="L121" s="1"/>
      <c r="M121" s="1"/>
      <c r="N121" s="1"/>
      <c r="O121" s="1"/>
      <c r="P121" s="1"/>
      <c r="Q121" s="1"/>
      <c r="R121" s="1"/>
      <c r="S121" s="1"/>
      <c r="T121" s="1"/>
    </row>
    <row r="123" spans="1:20" ht="50.4" customHeight="1" x14ac:dyDescent="0.3"/>
    <row r="125" spans="1:20" x14ac:dyDescent="0.3">
      <c r="A125" s="3" t="s">
        <v>36</v>
      </c>
    </row>
    <row r="126" spans="1:20" x14ac:dyDescent="0.3">
      <c r="B126" s="29" t="s">
        <v>21</v>
      </c>
    </row>
    <row r="127" spans="1:20" x14ac:dyDescent="0.3">
      <c r="B127" t="s">
        <v>20</v>
      </c>
      <c r="E127" s="18">
        <v>5000</v>
      </c>
    </row>
    <row r="128" spans="1:20" x14ac:dyDescent="0.3">
      <c r="A128" s="28"/>
      <c r="B128" s="28" t="s">
        <v>22</v>
      </c>
      <c r="C128" s="28"/>
      <c r="D128" s="28"/>
      <c r="E128" s="30">
        <v>20</v>
      </c>
      <c r="F128" s="28"/>
      <c r="G128" s="28" t="s">
        <v>40</v>
      </c>
      <c r="H128" s="43">
        <f>E129/E128</f>
        <v>0.1</v>
      </c>
      <c r="I128" s="28"/>
      <c r="J128" s="28"/>
      <c r="K128" s="28"/>
      <c r="L128" s="28"/>
      <c r="M128" s="28"/>
      <c r="N128" s="28"/>
      <c r="O128" s="28"/>
      <c r="P128" s="28"/>
      <c r="Q128" s="28"/>
      <c r="R128" s="28"/>
      <c r="S128" s="28"/>
      <c r="T128" s="28"/>
    </row>
    <row r="129" spans="1:25" x14ac:dyDescent="0.3">
      <c r="A129" s="28"/>
      <c r="B129" s="28" t="s">
        <v>23</v>
      </c>
      <c r="C129" s="28"/>
      <c r="D129" s="28"/>
      <c r="E129" s="30">
        <v>2</v>
      </c>
      <c r="F129" s="28"/>
      <c r="G129" s="28"/>
      <c r="H129" s="28"/>
      <c r="I129" s="28"/>
      <c r="J129" s="28"/>
      <c r="K129" s="28"/>
      <c r="L129" s="28"/>
      <c r="M129" s="28"/>
      <c r="N129" s="28"/>
      <c r="O129" s="28"/>
      <c r="P129" s="28"/>
      <c r="Q129" s="28"/>
      <c r="R129" s="28"/>
      <c r="S129" s="28"/>
      <c r="T129" s="28"/>
    </row>
    <row r="130" spans="1:25" x14ac:dyDescent="0.3">
      <c r="A130" s="28"/>
      <c r="B130" s="28" t="s">
        <v>31</v>
      </c>
      <c r="C130" s="28"/>
      <c r="D130" s="28"/>
      <c r="E130" s="18">
        <v>0</v>
      </c>
      <c r="F130" s="28"/>
      <c r="G130" s="28"/>
      <c r="H130" s="28"/>
      <c r="I130" s="28"/>
      <c r="J130" s="28"/>
      <c r="K130" s="28"/>
      <c r="L130" s="28"/>
      <c r="M130" s="28"/>
      <c r="N130" s="28"/>
      <c r="O130" s="28"/>
      <c r="P130" s="28"/>
      <c r="Q130" s="28"/>
      <c r="R130" s="28"/>
      <c r="S130" s="28"/>
      <c r="T130" s="28"/>
    </row>
    <row r="131" spans="1:25" x14ac:dyDescent="0.3">
      <c r="A131" s="28"/>
      <c r="B131" s="28"/>
      <c r="C131" s="28"/>
      <c r="D131" s="28"/>
      <c r="E131" s="18"/>
      <c r="F131" s="28"/>
      <c r="G131" s="28"/>
      <c r="H131" s="28"/>
      <c r="I131" s="28"/>
      <c r="J131" s="28"/>
      <c r="K131" s="28"/>
      <c r="L131" s="28"/>
      <c r="M131" s="28"/>
      <c r="N131" s="28"/>
      <c r="O131" s="28"/>
      <c r="P131" s="28"/>
      <c r="Q131" s="28"/>
      <c r="R131" s="28"/>
      <c r="S131" s="28"/>
      <c r="T131" s="28"/>
    </row>
    <row r="132" spans="1:25" x14ac:dyDescent="0.3">
      <c r="A132" s="28"/>
      <c r="B132" s="32" t="s">
        <v>24</v>
      </c>
      <c r="C132" s="32"/>
      <c r="D132" s="28"/>
      <c r="E132" s="28"/>
      <c r="F132" s="28"/>
      <c r="G132" s="28"/>
      <c r="H132" s="28"/>
      <c r="I132" s="28"/>
      <c r="J132" s="28"/>
      <c r="K132" s="28"/>
      <c r="L132" s="28"/>
      <c r="M132" s="28"/>
      <c r="N132" s="28"/>
      <c r="O132" s="28"/>
      <c r="P132" s="28"/>
      <c r="Q132" s="28"/>
      <c r="R132" s="28"/>
      <c r="S132" s="28"/>
      <c r="T132" s="28"/>
    </row>
    <row r="133" spans="1:25" x14ac:dyDescent="0.3">
      <c r="A133" s="28"/>
      <c r="B133" s="28"/>
      <c r="C133" s="28"/>
      <c r="D133" s="28"/>
      <c r="E133" s="28"/>
      <c r="F133" s="28"/>
      <c r="G133" s="28"/>
      <c r="H133" s="28"/>
      <c r="I133" s="28"/>
      <c r="J133" s="28"/>
      <c r="K133" s="28"/>
      <c r="L133" s="28"/>
      <c r="M133" s="28"/>
      <c r="N133" s="28"/>
      <c r="O133" s="28"/>
      <c r="P133" s="28"/>
      <c r="Q133" s="28"/>
      <c r="R133" s="28"/>
      <c r="S133" s="28"/>
      <c r="T133" s="28"/>
    </row>
    <row r="134" spans="1:25" x14ac:dyDescent="0.3">
      <c r="A134" s="28"/>
      <c r="B134" s="31" t="s">
        <v>27</v>
      </c>
      <c r="C134" s="28"/>
      <c r="D134" s="28"/>
      <c r="E134" s="28"/>
      <c r="F134" s="28"/>
      <c r="G134" s="28"/>
      <c r="H134" s="28"/>
      <c r="I134" s="28"/>
      <c r="J134" s="28"/>
      <c r="K134" s="28"/>
      <c r="L134" s="28"/>
      <c r="M134" s="28"/>
      <c r="N134" s="28"/>
      <c r="O134" s="28"/>
      <c r="P134" s="28"/>
      <c r="Q134" s="28"/>
      <c r="R134" s="28"/>
      <c r="S134" s="28"/>
      <c r="T134" s="28"/>
    </row>
    <row r="135" spans="1:25" x14ac:dyDescent="0.3">
      <c r="A135" s="28"/>
      <c r="B135" s="31"/>
      <c r="C135" s="28"/>
      <c r="D135" s="28"/>
      <c r="E135" s="28"/>
      <c r="F135" s="28"/>
      <c r="G135" s="28"/>
      <c r="H135" s="28"/>
      <c r="I135" s="28"/>
      <c r="J135" s="28"/>
      <c r="K135" s="28"/>
      <c r="L135" s="28"/>
      <c r="M135" s="28"/>
      <c r="N135" s="28"/>
      <c r="O135" s="28"/>
      <c r="P135" s="28"/>
      <c r="Q135" s="28"/>
      <c r="R135" s="28"/>
      <c r="S135" s="28"/>
      <c r="T135" s="28"/>
    </row>
    <row r="136" spans="1:25" x14ac:dyDescent="0.3">
      <c r="A136" s="28"/>
      <c r="B136" s="33" t="s">
        <v>25</v>
      </c>
      <c r="C136" s="33"/>
      <c r="D136" s="33"/>
      <c r="E136" s="33"/>
      <c r="F136" s="34">
        <v>1</v>
      </c>
      <c r="G136" s="34">
        <f t="shared" ref="G136:T136" si="13">F136+1</f>
        <v>2</v>
      </c>
      <c r="H136" s="34">
        <f t="shared" si="13"/>
        <v>3</v>
      </c>
      <c r="I136" s="34">
        <f t="shared" si="13"/>
        <v>4</v>
      </c>
      <c r="J136" s="34">
        <f t="shared" si="13"/>
        <v>5</v>
      </c>
      <c r="K136" s="34">
        <f t="shared" si="13"/>
        <v>6</v>
      </c>
      <c r="L136" s="34">
        <f t="shared" si="13"/>
        <v>7</v>
      </c>
      <c r="M136" s="34">
        <f t="shared" si="13"/>
        <v>8</v>
      </c>
      <c r="N136" s="34">
        <f t="shared" si="13"/>
        <v>9</v>
      </c>
      <c r="O136" s="34">
        <f t="shared" si="13"/>
        <v>10</v>
      </c>
      <c r="P136" s="34">
        <f t="shared" si="13"/>
        <v>11</v>
      </c>
      <c r="Q136" s="34">
        <f t="shared" si="13"/>
        <v>12</v>
      </c>
      <c r="R136" s="34">
        <f t="shared" si="13"/>
        <v>13</v>
      </c>
      <c r="S136" s="34">
        <f t="shared" si="13"/>
        <v>14</v>
      </c>
      <c r="T136" s="34">
        <f t="shared" si="13"/>
        <v>15</v>
      </c>
      <c r="U136">
        <v>16</v>
      </c>
      <c r="V136">
        <v>17</v>
      </c>
      <c r="W136">
        <v>18</v>
      </c>
      <c r="X136">
        <v>19</v>
      </c>
      <c r="Y136">
        <v>20</v>
      </c>
    </row>
    <row r="137" spans="1:25" x14ac:dyDescent="0.3">
      <c r="A137" s="28"/>
      <c r="B137" s="28" t="s">
        <v>4</v>
      </c>
      <c r="C137" s="28"/>
      <c r="D137" s="28"/>
      <c r="E137" s="28"/>
      <c r="F137" s="35">
        <f>$E$127</f>
        <v>5000</v>
      </c>
      <c r="G137" s="28">
        <f t="shared" ref="G137:T137" si="14">F139</f>
        <v>4500</v>
      </c>
      <c r="H137" s="28">
        <f t="shared" si="14"/>
        <v>4050</v>
      </c>
      <c r="I137" s="28">
        <f t="shared" si="14"/>
        <v>3645</v>
      </c>
      <c r="J137" s="28">
        <f t="shared" si="14"/>
        <v>3280.5</v>
      </c>
      <c r="K137" s="28">
        <f t="shared" si="14"/>
        <v>2952.45</v>
      </c>
      <c r="L137" s="28">
        <f t="shared" si="14"/>
        <v>2657.2049999999999</v>
      </c>
      <c r="M137" s="28">
        <f t="shared" si="14"/>
        <v>2391.4845</v>
      </c>
      <c r="N137" s="28">
        <f t="shared" si="14"/>
        <v>2152.3360499999999</v>
      </c>
      <c r="O137" s="28">
        <f t="shared" si="14"/>
        <v>1937.1024449999998</v>
      </c>
      <c r="P137" s="28">
        <f t="shared" si="14"/>
        <v>1743.3922004999997</v>
      </c>
      <c r="Q137" s="28">
        <f t="shared" si="14"/>
        <v>1569.0529804499997</v>
      </c>
      <c r="R137" s="28">
        <f t="shared" si="14"/>
        <v>1412.1476824049996</v>
      </c>
      <c r="S137" s="28">
        <f t="shared" si="14"/>
        <v>1270.9329141644996</v>
      </c>
      <c r="T137" s="28">
        <f t="shared" si="14"/>
        <v>1143.8396227480496</v>
      </c>
      <c r="U137" s="28">
        <f t="shared" ref="U137" si="15">T139</f>
        <v>1029.4556604732445</v>
      </c>
      <c r="V137" s="28">
        <f t="shared" ref="V137" si="16">U139</f>
        <v>926.51009442591999</v>
      </c>
      <c r="W137" s="28">
        <f t="shared" ref="W137" si="17">V139</f>
        <v>833.85908498332788</v>
      </c>
      <c r="X137" s="28">
        <f t="shared" ref="X137" si="18">W139</f>
        <v>750.47317648499495</v>
      </c>
      <c r="Y137" s="28">
        <f t="shared" ref="Y137" si="19">X139</f>
        <v>675.42585883649531</v>
      </c>
    </row>
    <row r="138" spans="1:25" x14ac:dyDescent="0.3">
      <c r="A138" s="28"/>
      <c r="B138" s="28" t="s">
        <v>26</v>
      </c>
      <c r="C138" s="32"/>
      <c r="D138" s="28"/>
      <c r="E138" s="28"/>
      <c r="F138" s="36">
        <f>-DDB($E$127,$E$130,$E$128,F136,$E$129)</f>
        <v>-500</v>
      </c>
      <c r="G138" s="36">
        <f>-DDB($E$127,$E$130,$E$128,G136,$E$129)</f>
        <v>-450</v>
      </c>
      <c r="H138" s="36">
        <f>-DDB($E$127,$E$130,$E$128,H136,$E$129)</f>
        <v>-405.00000000000006</v>
      </c>
      <c r="I138" s="36">
        <f t="shared" ref="I138:M138" si="20">-DDB($E$127,$E$130,$E$128,I136,$E$129)</f>
        <v>-364.50000000000006</v>
      </c>
      <c r="J138" s="36">
        <f t="shared" si="20"/>
        <v>-328.05000000000007</v>
      </c>
      <c r="K138" s="36">
        <f t="shared" si="20"/>
        <v>-295.24500000000006</v>
      </c>
      <c r="L138" s="36">
        <f t="shared" si="20"/>
        <v>-265.72050000000007</v>
      </c>
      <c r="M138" s="36">
        <f t="shared" si="20"/>
        <v>-239.14845000000005</v>
      </c>
      <c r="N138" s="36">
        <f>-DDB($E$127,$E$130,$E$128,N136,$E$129)</f>
        <v>-215.2336050000001</v>
      </c>
      <c r="O138" s="36">
        <f>-DDB($E$127,$E$130,$E$128,O136,$E$129)</f>
        <v>-193.71024450000007</v>
      </c>
      <c r="P138" s="36">
        <f>-DDB($E$127,$E$130,$E$128,P136,$E$129)</f>
        <v>-174.33922005000011</v>
      </c>
      <c r="Q138" s="36">
        <f t="shared" ref="Q138:T138" si="21">-DDB($E$127,$E$130,$E$128,Q136,$E$129)</f>
        <v>-156.90529804500011</v>
      </c>
      <c r="R138" s="36">
        <f t="shared" si="21"/>
        <v>-141.21476824050009</v>
      </c>
      <c r="S138" s="36">
        <f t="shared" si="21"/>
        <v>-127.0932914164501</v>
      </c>
      <c r="T138" s="36">
        <f t="shared" si="21"/>
        <v>-114.38396227480507</v>
      </c>
      <c r="U138" s="36">
        <f t="shared" ref="U138:Y138" si="22">-DDB($E$127,$E$130,$E$128,U136,$E$129)</f>
        <v>-102.94556604732458</v>
      </c>
      <c r="V138" s="36">
        <f t="shared" si="22"/>
        <v>-92.651009442592127</v>
      </c>
      <c r="W138" s="36">
        <f t="shared" si="22"/>
        <v>-83.385908498332924</v>
      </c>
      <c r="X138" s="36">
        <f t="shared" si="22"/>
        <v>-75.047317648499629</v>
      </c>
      <c r="Y138" s="36">
        <f t="shared" si="22"/>
        <v>-67.542585883649664</v>
      </c>
    </row>
    <row r="139" spans="1:25" x14ac:dyDescent="0.3">
      <c r="A139" s="28"/>
      <c r="B139" s="28" t="s">
        <v>7</v>
      </c>
      <c r="C139" s="28"/>
      <c r="D139" s="28"/>
      <c r="E139" s="28"/>
      <c r="F139" s="28">
        <f t="shared" ref="F139:T139" si="23">SUM(F137:F138)</f>
        <v>4500</v>
      </c>
      <c r="G139" s="28">
        <f t="shared" si="23"/>
        <v>4050</v>
      </c>
      <c r="H139" s="28">
        <f t="shared" si="23"/>
        <v>3645</v>
      </c>
      <c r="I139" s="28">
        <f t="shared" si="23"/>
        <v>3280.5</v>
      </c>
      <c r="J139" s="28">
        <f t="shared" si="23"/>
        <v>2952.45</v>
      </c>
      <c r="K139" s="28">
        <f t="shared" si="23"/>
        <v>2657.2049999999999</v>
      </c>
      <c r="L139" s="28">
        <f t="shared" si="23"/>
        <v>2391.4845</v>
      </c>
      <c r="M139" s="28">
        <f t="shared" si="23"/>
        <v>2152.3360499999999</v>
      </c>
      <c r="N139" s="28">
        <f t="shared" si="23"/>
        <v>1937.1024449999998</v>
      </c>
      <c r="O139" s="28">
        <f t="shared" si="23"/>
        <v>1743.3922004999997</v>
      </c>
      <c r="P139" s="28">
        <f t="shared" si="23"/>
        <v>1569.0529804499997</v>
      </c>
      <c r="Q139" s="28">
        <f t="shared" si="23"/>
        <v>1412.1476824049996</v>
      </c>
      <c r="R139" s="28">
        <f t="shared" si="23"/>
        <v>1270.9329141644996</v>
      </c>
      <c r="S139" s="28">
        <f t="shared" si="23"/>
        <v>1143.8396227480496</v>
      </c>
      <c r="T139" s="28">
        <f t="shared" si="23"/>
        <v>1029.4556604732445</v>
      </c>
      <c r="U139" s="28">
        <f t="shared" ref="U139:Y139" si="24">SUM(U137:U138)</f>
        <v>926.51009442591999</v>
      </c>
      <c r="V139" s="28">
        <f t="shared" si="24"/>
        <v>833.85908498332788</v>
      </c>
      <c r="W139" s="28">
        <f t="shared" si="24"/>
        <v>750.47317648499495</v>
      </c>
      <c r="X139" s="28">
        <f t="shared" si="24"/>
        <v>675.42585883649531</v>
      </c>
      <c r="Y139" s="28">
        <f t="shared" si="24"/>
        <v>607.88327295284569</v>
      </c>
    </row>
    <row r="140" spans="1:25" x14ac:dyDescent="0.3">
      <c r="A140" s="28"/>
      <c r="B140" s="28"/>
      <c r="C140" s="28"/>
      <c r="D140" s="28"/>
      <c r="E140" s="28"/>
      <c r="F140" s="28"/>
      <c r="G140" s="28"/>
      <c r="H140" s="28"/>
      <c r="I140" s="28"/>
      <c r="J140" s="28"/>
      <c r="K140" s="28"/>
      <c r="L140" s="28"/>
      <c r="M140" s="28"/>
      <c r="N140" s="28"/>
      <c r="O140" s="28"/>
      <c r="P140" s="28"/>
      <c r="Q140" s="28"/>
      <c r="R140" s="28"/>
      <c r="S140" s="28"/>
      <c r="T140" s="28"/>
    </row>
    <row r="141" spans="1:25" x14ac:dyDescent="0.3">
      <c r="A141" s="28"/>
      <c r="B141" s="28"/>
      <c r="C141" s="28"/>
      <c r="D141" s="28"/>
      <c r="E141" s="28"/>
      <c r="F141" s="32"/>
      <c r="G141" s="28"/>
      <c r="H141" s="28"/>
      <c r="I141" s="28"/>
      <c r="J141" s="28"/>
      <c r="K141" s="28"/>
      <c r="L141" s="28"/>
      <c r="M141" s="28"/>
      <c r="N141" s="28"/>
      <c r="O141" s="28"/>
      <c r="P141" s="28"/>
      <c r="Q141" s="28"/>
      <c r="R141" s="28"/>
      <c r="S141" s="28"/>
      <c r="T141" s="28"/>
    </row>
    <row r="142" spans="1:25" x14ac:dyDescent="0.3">
      <c r="A142" s="28"/>
      <c r="B142" s="28"/>
      <c r="C142" s="28"/>
      <c r="D142" s="28"/>
      <c r="E142" s="28"/>
      <c r="F142" s="28"/>
      <c r="G142" s="28"/>
      <c r="H142" s="28"/>
      <c r="I142" s="28"/>
      <c r="J142" s="28"/>
      <c r="K142" s="28"/>
      <c r="L142" s="28"/>
      <c r="M142" s="28"/>
      <c r="N142" s="28"/>
      <c r="O142" s="28"/>
      <c r="P142" s="28"/>
      <c r="Q142" s="28"/>
      <c r="R142" s="28"/>
      <c r="S142" s="28"/>
      <c r="T142" s="28"/>
    </row>
    <row r="143" spans="1:25" x14ac:dyDescent="0.3">
      <c r="A143" s="28"/>
      <c r="B143" s="32" t="s">
        <v>39</v>
      </c>
      <c r="C143" s="32"/>
      <c r="D143" s="28"/>
      <c r="E143" s="28"/>
      <c r="F143" s="28"/>
      <c r="G143" s="28"/>
      <c r="H143" s="28"/>
      <c r="I143" s="28"/>
      <c r="J143" s="28"/>
      <c r="K143" s="28"/>
      <c r="L143" s="28"/>
      <c r="M143" s="28"/>
      <c r="N143" s="28"/>
      <c r="O143" s="28"/>
      <c r="P143" s="28"/>
      <c r="Q143" s="28"/>
      <c r="R143" s="28"/>
      <c r="S143" s="28"/>
      <c r="T143" s="28"/>
    </row>
    <row r="145" spans="1:25" x14ac:dyDescent="0.3">
      <c r="B145" t="s">
        <v>29</v>
      </c>
      <c r="E145" s="18">
        <v>1500</v>
      </c>
    </row>
    <row r="146" spans="1:25" x14ac:dyDescent="0.3">
      <c r="B146" t="s">
        <v>30</v>
      </c>
      <c r="E146" s="30">
        <v>5</v>
      </c>
    </row>
    <row r="148" spans="1:25" x14ac:dyDescent="0.3">
      <c r="A148" s="28"/>
      <c r="B148" s="31" t="s">
        <v>27</v>
      </c>
      <c r="C148" s="28"/>
      <c r="D148" s="28"/>
      <c r="E148" s="28"/>
      <c r="F148" s="28"/>
      <c r="G148" s="28"/>
      <c r="H148" s="28"/>
      <c r="I148" s="28"/>
      <c r="J148" s="28"/>
      <c r="K148" s="28"/>
      <c r="L148" s="28"/>
      <c r="M148" s="28"/>
      <c r="N148" s="28"/>
      <c r="O148" s="28"/>
      <c r="P148" s="28"/>
      <c r="Q148" s="28"/>
      <c r="R148" s="28"/>
      <c r="S148" s="28"/>
      <c r="T148" s="28"/>
    </row>
    <row r="149" spans="1:25" x14ac:dyDescent="0.3">
      <c r="A149" s="28"/>
      <c r="B149" s="31"/>
      <c r="C149" s="28"/>
      <c r="D149" s="28"/>
      <c r="E149" s="28"/>
      <c r="F149" s="28"/>
      <c r="G149" s="28"/>
      <c r="H149" s="28"/>
      <c r="I149" s="28"/>
      <c r="J149" s="28"/>
      <c r="K149" s="28"/>
      <c r="L149" s="28"/>
      <c r="M149" s="28"/>
      <c r="N149" s="28"/>
      <c r="O149" s="28"/>
      <c r="P149" s="28"/>
      <c r="Q149" s="28"/>
      <c r="R149" s="28"/>
      <c r="S149" s="28"/>
      <c r="T149" s="28"/>
    </row>
    <row r="150" spans="1:25" x14ac:dyDescent="0.3">
      <c r="A150" s="28"/>
      <c r="B150" s="33" t="s">
        <v>25</v>
      </c>
      <c r="C150" s="33"/>
      <c r="D150" s="33"/>
      <c r="E150" s="33"/>
      <c r="F150" s="34">
        <v>1</v>
      </c>
      <c r="G150" s="34">
        <f t="shared" ref="G150:T150" si="25">F150+1</f>
        <v>2</v>
      </c>
      <c r="H150" s="34">
        <f t="shared" si="25"/>
        <v>3</v>
      </c>
      <c r="I150" s="34">
        <f t="shared" si="25"/>
        <v>4</v>
      </c>
      <c r="J150" s="34">
        <f t="shared" si="25"/>
        <v>5</v>
      </c>
      <c r="K150" s="34">
        <f t="shared" si="25"/>
        <v>6</v>
      </c>
      <c r="L150" s="34">
        <f t="shared" si="25"/>
        <v>7</v>
      </c>
      <c r="M150" s="34">
        <f t="shared" si="25"/>
        <v>8</v>
      </c>
      <c r="N150" s="34">
        <f t="shared" si="25"/>
        <v>9</v>
      </c>
      <c r="O150" s="34">
        <f t="shared" si="25"/>
        <v>10</v>
      </c>
      <c r="P150" s="34">
        <f t="shared" si="25"/>
        <v>11</v>
      </c>
      <c r="Q150" s="34">
        <f t="shared" si="25"/>
        <v>12</v>
      </c>
      <c r="R150" s="34">
        <f t="shared" si="25"/>
        <v>13</v>
      </c>
      <c r="S150" s="34">
        <f t="shared" si="25"/>
        <v>14</v>
      </c>
      <c r="T150" s="34">
        <f t="shared" si="25"/>
        <v>15</v>
      </c>
      <c r="U150">
        <v>16</v>
      </c>
      <c r="V150">
        <v>17</v>
      </c>
      <c r="W150">
        <v>18</v>
      </c>
      <c r="X150">
        <v>19</v>
      </c>
      <c r="Y150">
        <v>20</v>
      </c>
    </row>
    <row r="151" spans="1:25" x14ac:dyDescent="0.3">
      <c r="A151" s="28"/>
      <c r="B151" s="28" t="s">
        <v>4</v>
      </c>
      <c r="C151" s="28"/>
      <c r="D151" s="28"/>
      <c r="E151" s="28"/>
      <c r="F151" s="35">
        <f>$E$127</f>
        <v>5000</v>
      </c>
      <c r="G151" s="28">
        <f t="shared" ref="G151:T151" si="26">F154</f>
        <v>4500</v>
      </c>
      <c r="H151" s="28">
        <f t="shared" si="26"/>
        <v>4050</v>
      </c>
      <c r="I151" s="28">
        <f t="shared" si="26"/>
        <v>3645</v>
      </c>
      <c r="J151" s="28">
        <f t="shared" si="26"/>
        <v>3280.5</v>
      </c>
      <c r="K151" s="28">
        <f t="shared" si="26"/>
        <v>4452.45</v>
      </c>
      <c r="L151" s="28">
        <f t="shared" si="26"/>
        <v>4007.2049999999999</v>
      </c>
      <c r="M151" s="28">
        <f t="shared" si="26"/>
        <v>3606.4845</v>
      </c>
      <c r="N151" s="28">
        <f t="shared" si="26"/>
        <v>3245.8360499999999</v>
      </c>
      <c r="O151" s="28">
        <f t="shared" si="26"/>
        <v>2921.2524450000001</v>
      </c>
      <c r="P151" s="28">
        <f t="shared" si="26"/>
        <v>2629.1272005000001</v>
      </c>
      <c r="Q151" s="28">
        <f t="shared" si="26"/>
        <v>2366.2144804499999</v>
      </c>
      <c r="R151" s="28">
        <f t="shared" si="26"/>
        <v>2129.593032405</v>
      </c>
      <c r="S151" s="28">
        <f t="shared" si="26"/>
        <v>1916.6337291645</v>
      </c>
      <c r="T151" s="28">
        <f t="shared" si="26"/>
        <v>1724.9703562480499</v>
      </c>
      <c r="U151" s="28">
        <f t="shared" ref="U151" si="27">T154</f>
        <v>1552.4733206232449</v>
      </c>
      <c r="V151" s="28">
        <f t="shared" ref="V151" si="28">U154</f>
        <v>1397.2259885609205</v>
      </c>
      <c r="W151" s="28">
        <f t="shared" ref="W151" si="29">V154</f>
        <v>1257.5033897048286</v>
      </c>
      <c r="X151" s="28">
        <f t="shared" ref="X151" si="30">W154</f>
        <v>1131.7530507343458</v>
      </c>
      <c r="Y151" s="28">
        <f t="shared" ref="Y151" si="31">X154</f>
        <v>1018.5777456609112</v>
      </c>
    </row>
    <row r="152" spans="1:25" x14ac:dyDescent="0.3">
      <c r="A152" s="28"/>
      <c r="B152" s="28" t="s">
        <v>28</v>
      </c>
      <c r="C152" s="28"/>
      <c r="D152" s="28"/>
      <c r="E152" s="28"/>
      <c r="F152" s="36"/>
      <c r="G152" s="36"/>
      <c r="H152" s="36"/>
      <c r="I152" s="36"/>
      <c r="J152" s="36">
        <v>1500</v>
      </c>
      <c r="K152" s="36"/>
      <c r="L152" s="36"/>
      <c r="M152" s="36"/>
      <c r="N152" s="36"/>
      <c r="O152" s="36"/>
      <c r="P152" s="36"/>
      <c r="Q152" s="36"/>
      <c r="R152" s="36"/>
      <c r="S152" s="36"/>
      <c r="T152" s="36"/>
      <c r="U152" s="36"/>
      <c r="V152" s="36"/>
      <c r="W152" s="36"/>
      <c r="X152" s="36"/>
      <c r="Y152" s="36"/>
    </row>
    <row r="153" spans="1:25" x14ac:dyDescent="0.3">
      <c r="A153" s="28"/>
      <c r="B153" s="28" t="s">
        <v>26</v>
      </c>
      <c r="C153" s="32"/>
      <c r="D153" s="28"/>
      <c r="E153" s="28"/>
      <c r="F153" s="36">
        <f>(-1*F151*$E$129)/$E$128</f>
        <v>-500</v>
      </c>
      <c r="G153" s="36">
        <f>(-1*G151*$E$129)/$E$128</f>
        <v>-450</v>
      </c>
      <c r="H153" s="36">
        <f t="shared" ref="H153:T153" si="32">(-1*H151*$E$129)/$E$128</f>
        <v>-405</v>
      </c>
      <c r="I153" s="36">
        <f t="shared" si="32"/>
        <v>-364.5</v>
      </c>
      <c r="J153" s="36">
        <f t="shared" si="32"/>
        <v>-328.05</v>
      </c>
      <c r="K153" s="36">
        <f t="shared" si="32"/>
        <v>-445.245</v>
      </c>
      <c r="L153" s="36">
        <f t="shared" si="32"/>
        <v>-400.72050000000002</v>
      </c>
      <c r="M153" s="36">
        <f t="shared" si="32"/>
        <v>-360.64845000000003</v>
      </c>
      <c r="N153" s="36">
        <f t="shared" si="32"/>
        <v>-324.58360499999998</v>
      </c>
      <c r="O153" s="36">
        <f t="shared" si="32"/>
        <v>-292.12524450000001</v>
      </c>
      <c r="P153" s="36">
        <f t="shared" si="32"/>
        <v>-262.91272005000002</v>
      </c>
      <c r="Q153" s="36">
        <f t="shared" si="32"/>
        <v>-236.62144804499999</v>
      </c>
      <c r="R153" s="36">
        <f t="shared" si="32"/>
        <v>-212.95930324049999</v>
      </c>
      <c r="S153" s="36">
        <f t="shared" si="32"/>
        <v>-191.66337291644999</v>
      </c>
      <c r="T153" s="36">
        <f t="shared" si="32"/>
        <v>-172.49703562480499</v>
      </c>
      <c r="U153" s="36">
        <f t="shared" ref="U153:Y153" si="33">(-1*U151*$E$129)/$E$128</f>
        <v>-155.24733206232449</v>
      </c>
      <c r="V153" s="36">
        <f t="shared" si="33"/>
        <v>-139.72259885609205</v>
      </c>
      <c r="W153" s="36">
        <f t="shared" si="33"/>
        <v>-125.75033897048286</v>
      </c>
      <c r="X153" s="36">
        <f t="shared" si="33"/>
        <v>-113.17530507343459</v>
      </c>
      <c r="Y153" s="36">
        <f t="shared" si="33"/>
        <v>-101.85777456609112</v>
      </c>
    </row>
    <row r="154" spans="1:25" x14ac:dyDescent="0.3">
      <c r="A154" s="28"/>
      <c r="B154" s="28" t="s">
        <v>7</v>
      </c>
      <c r="C154" s="28"/>
      <c r="D154" s="28"/>
      <c r="E154" s="28"/>
      <c r="F154" s="28">
        <f>SUM(F151:F153)</f>
        <v>4500</v>
      </c>
      <c r="G154" s="28">
        <f t="shared" ref="G154" si="34">SUM(G151:G153)</f>
        <v>4050</v>
      </c>
      <c r="H154" s="28">
        <f t="shared" ref="H154" si="35">SUM(H151:H153)</f>
        <v>3645</v>
      </c>
      <c r="I154" s="28">
        <f t="shared" ref="I154" si="36">SUM(I151:I153)</f>
        <v>3280.5</v>
      </c>
      <c r="J154" s="28">
        <f>SUM(J151:J153)</f>
        <v>4452.45</v>
      </c>
      <c r="K154" s="28">
        <f t="shared" ref="K154" si="37">SUM(K151:K153)</f>
        <v>4007.2049999999999</v>
      </c>
      <c r="L154" s="28">
        <f t="shared" ref="L154" si="38">SUM(L151:L153)</f>
        <v>3606.4845</v>
      </c>
      <c r="M154" s="28">
        <f t="shared" ref="M154" si="39">SUM(M151:M153)</f>
        <v>3245.8360499999999</v>
      </c>
      <c r="N154" s="28">
        <f t="shared" ref="N154" si="40">SUM(N151:N153)</f>
        <v>2921.2524450000001</v>
      </c>
      <c r="O154" s="28">
        <f t="shared" ref="O154" si="41">SUM(O151:O153)</f>
        <v>2629.1272005000001</v>
      </c>
      <c r="P154" s="28">
        <f t="shared" ref="P154" si="42">SUM(P151:P153)</f>
        <v>2366.2144804499999</v>
      </c>
      <c r="Q154" s="28">
        <f t="shared" ref="Q154" si="43">SUM(Q151:Q153)</f>
        <v>2129.593032405</v>
      </c>
      <c r="R154" s="28">
        <f t="shared" ref="R154" si="44">SUM(R151:R153)</f>
        <v>1916.6337291645</v>
      </c>
      <c r="S154" s="28">
        <f t="shared" ref="S154" si="45">SUM(S151:S153)</f>
        <v>1724.9703562480499</v>
      </c>
      <c r="T154" s="28">
        <f t="shared" ref="T154:Y154" si="46">SUM(T151:T153)</f>
        <v>1552.4733206232449</v>
      </c>
      <c r="U154" s="28">
        <f t="shared" si="46"/>
        <v>1397.2259885609205</v>
      </c>
      <c r="V154" s="28">
        <f t="shared" si="46"/>
        <v>1257.5033897048286</v>
      </c>
      <c r="W154" s="28">
        <f t="shared" si="46"/>
        <v>1131.7530507343458</v>
      </c>
      <c r="X154" s="28">
        <f t="shared" si="46"/>
        <v>1018.5777456609112</v>
      </c>
      <c r="Y154" s="28">
        <f t="shared" si="46"/>
        <v>916.71997109482004</v>
      </c>
    </row>
    <row r="156" spans="1:25" x14ac:dyDescent="0.3">
      <c r="B156" s="28"/>
      <c r="E156" s="28"/>
      <c r="F156" s="32"/>
    </row>
    <row r="158" spans="1:25" x14ac:dyDescent="0.3">
      <c r="B158" s="32" t="s">
        <v>38</v>
      </c>
    </row>
    <row r="160" spans="1:25" x14ac:dyDescent="0.3">
      <c r="B160" s="33" t="s">
        <v>25</v>
      </c>
      <c r="F160" s="34">
        <f>F150</f>
        <v>1</v>
      </c>
      <c r="G160" s="34">
        <f t="shared" ref="G160:Y160" si="47">G150</f>
        <v>2</v>
      </c>
      <c r="H160" s="34">
        <f t="shared" si="47"/>
        <v>3</v>
      </c>
      <c r="I160" s="34">
        <f t="shared" si="47"/>
        <v>4</v>
      </c>
      <c r="J160" s="34">
        <f t="shared" si="47"/>
        <v>5</v>
      </c>
      <c r="K160" s="34">
        <f t="shared" si="47"/>
        <v>6</v>
      </c>
      <c r="L160" s="34">
        <f t="shared" si="47"/>
        <v>7</v>
      </c>
      <c r="M160" s="34">
        <f t="shared" si="47"/>
        <v>8</v>
      </c>
      <c r="N160" s="34">
        <f t="shared" si="47"/>
        <v>9</v>
      </c>
      <c r="O160" s="34">
        <f t="shared" si="47"/>
        <v>10</v>
      </c>
      <c r="P160" s="34">
        <f t="shared" si="47"/>
        <v>11</v>
      </c>
      <c r="Q160" s="34">
        <f t="shared" si="47"/>
        <v>12</v>
      </c>
      <c r="R160" s="34">
        <f t="shared" si="47"/>
        <v>13</v>
      </c>
      <c r="S160" s="34">
        <f t="shared" si="47"/>
        <v>14</v>
      </c>
      <c r="T160" s="34">
        <f t="shared" si="47"/>
        <v>15</v>
      </c>
      <c r="U160">
        <f t="shared" si="47"/>
        <v>16</v>
      </c>
      <c r="V160">
        <f t="shared" si="47"/>
        <v>17</v>
      </c>
      <c r="W160">
        <f t="shared" si="47"/>
        <v>18</v>
      </c>
      <c r="X160">
        <f t="shared" si="47"/>
        <v>19</v>
      </c>
      <c r="Y160">
        <f t="shared" si="47"/>
        <v>20</v>
      </c>
    </row>
    <row r="161" spans="2:25" x14ac:dyDescent="0.3">
      <c r="B161" s="28" t="s">
        <v>4</v>
      </c>
      <c r="F161" s="35">
        <f>$E$127</f>
        <v>5000</v>
      </c>
      <c r="G161" s="28">
        <f>F163</f>
        <v>4750</v>
      </c>
      <c r="H161" s="28">
        <f t="shared" ref="H161:Y161" si="48">G163</f>
        <v>4500</v>
      </c>
      <c r="I161" s="28">
        <f t="shared" si="48"/>
        <v>4250</v>
      </c>
      <c r="J161" s="28">
        <f t="shared" si="48"/>
        <v>4000</v>
      </c>
      <c r="K161" s="28">
        <f t="shared" si="48"/>
        <v>3750</v>
      </c>
      <c r="L161" s="28">
        <f t="shared" si="48"/>
        <v>3500</v>
      </c>
      <c r="M161" s="28">
        <f t="shared" si="48"/>
        <v>3250</v>
      </c>
      <c r="N161" s="28">
        <f t="shared" si="48"/>
        <v>3000</v>
      </c>
      <c r="O161" s="28">
        <f t="shared" si="48"/>
        <v>2750</v>
      </c>
      <c r="P161" s="28">
        <f t="shared" si="48"/>
        <v>2500</v>
      </c>
      <c r="Q161" s="28">
        <f t="shared" si="48"/>
        <v>2250</v>
      </c>
      <c r="R161" s="28">
        <f t="shared" si="48"/>
        <v>2000</v>
      </c>
      <c r="S161" s="28">
        <f t="shared" si="48"/>
        <v>1750</v>
      </c>
      <c r="T161" s="28">
        <f t="shared" si="48"/>
        <v>1500</v>
      </c>
      <c r="U161" s="28">
        <f t="shared" si="48"/>
        <v>1250</v>
      </c>
      <c r="V161" s="28">
        <f t="shared" si="48"/>
        <v>1000</v>
      </c>
      <c r="W161" s="28">
        <f t="shared" si="48"/>
        <v>750</v>
      </c>
      <c r="X161" s="28">
        <f t="shared" si="48"/>
        <v>500</v>
      </c>
      <c r="Y161" s="28">
        <f t="shared" si="48"/>
        <v>250</v>
      </c>
    </row>
    <row r="162" spans="2:25" x14ac:dyDescent="0.3">
      <c r="B162" s="28" t="s">
        <v>26</v>
      </c>
      <c r="F162" s="36">
        <f>-($E$127-$E$130)/$E$128</f>
        <v>-250</v>
      </c>
      <c r="G162" s="36">
        <f t="shared" ref="G162:Y162" si="49">-($E$127-$E$130)/$E$128</f>
        <v>-250</v>
      </c>
      <c r="H162" s="36">
        <f t="shared" si="49"/>
        <v>-250</v>
      </c>
      <c r="I162" s="36">
        <f t="shared" si="49"/>
        <v>-250</v>
      </c>
      <c r="J162" s="36">
        <f t="shared" si="49"/>
        <v>-250</v>
      </c>
      <c r="K162" s="36">
        <f t="shared" si="49"/>
        <v>-250</v>
      </c>
      <c r="L162" s="36">
        <f t="shared" si="49"/>
        <v>-250</v>
      </c>
      <c r="M162" s="36">
        <f t="shared" si="49"/>
        <v>-250</v>
      </c>
      <c r="N162" s="36">
        <f t="shared" si="49"/>
        <v>-250</v>
      </c>
      <c r="O162" s="36">
        <f t="shared" si="49"/>
        <v>-250</v>
      </c>
      <c r="P162" s="36">
        <f t="shared" si="49"/>
        <v>-250</v>
      </c>
      <c r="Q162" s="36">
        <f t="shared" si="49"/>
        <v>-250</v>
      </c>
      <c r="R162" s="36">
        <f t="shared" si="49"/>
        <v>-250</v>
      </c>
      <c r="S162" s="36">
        <f t="shared" si="49"/>
        <v>-250</v>
      </c>
      <c r="T162" s="36">
        <f t="shared" si="49"/>
        <v>-250</v>
      </c>
      <c r="U162" s="36">
        <f t="shared" si="49"/>
        <v>-250</v>
      </c>
      <c r="V162" s="36">
        <f t="shared" si="49"/>
        <v>-250</v>
      </c>
      <c r="W162" s="36">
        <f t="shared" si="49"/>
        <v>-250</v>
      </c>
      <c r="X162" s="36">
        <f t="shared" si="49"/>
        <v>-250</v>
      </c>
      <c r="Y162" s="36">
        <f t="shared" si="49"/>
        <v>-250</v>
      </c>
    </row>
    <row r="163" spans="2:25" x14ac:dyDescent="0.3">
      <c r="B163" s="28" t="s">
        <v>7</v>
      </c>
      <c r="F163" s="28">
        <f t="shared" ref="F163:Y163" si="50">SUM(F161:F162)</f>
        <v>4750</v>
      </c>
      <c r="G163" s="28">
        <f t="shared" si="50"/>
        <v>4500</v>
      </c>
      <c r="H163" s="28">
        <f t="shared" si="50"/>
        <v>4250</v>
      </c>
      <c r="I163" s="28">
        <f t="shared" si="50"/>
        <v>4000</v>
      </c>
      <c r="J163" s="28">
        <f t="shared" si="50"/>
        <v>3750</v>
      </c>
      <c r="K163" s="28">
        <f t="shared" si="50"/>
        <v>3500</v>
      </c>
      <c r="L163" s="28">
        <f t="shared" si="50"/>
        <v>3250</v>
      </c>
      <c r="M163" s="28">
        <f t="shared" si="50"/>
        <v>3000</v>
      </c>
      <c r="N163" s="28">
        <f t="shared" si="50"/>
        <v>2750</v>
      </c>
      <c r="O163" s="28">
        <f t="shared" si="50"/>
        <v>2500</v>
      </c>
      <c r="P163" s="28">
        <f t="shared" si="50"/>
        <v>2250</v>
      </c>
      <c r="Q163" s="28">
        <f t="shared" si="50"/>
        <v>2000</v>
      </c>
      <c r="R163" s="28">
        <f t="shared" si="50"/>
        <v>1750</v>
      </c>
      <c r="S163" s="28">
        <f t="shared" si="50"/>
        <v>1500</v>
      </c>
      <c r="T163" s="28">
        <f t="shared" si="50"/>
        <v>1250</v>
      </c>
      <c r="U163" s="28">
        <f t="shared" si="50"/>
        <v>1000</v>
      </c>
      <c r="V163" s="28">
        <f t="shared" si="50"/>
        <v>750</v>
      </c>
      <c r="W163" s="28">
        <f t="shared" si="50"/>
        <v>500</v>
      </c>
      <c r="X163" s="28">
        <f t="shared" si="50"/>
        <v>250</v>
      </c>
      <c r="Y163" s="28">
        <f t="shared" si="50"/>
        <v>0</v>
      </c>
    </row>
  </sheetData>
  <sheetProtection algorithmName="SHA-512" hashValue="Tkc/HJNe672RcBmbx4lyV8bRbIog92QWKLwzvFas0s2KuBUC5ksFOcrKHcuzI/YCzYSk8v6GhWobFn1QDKjDcQ==" saltValue="BMDvpAlEedb0sLDJE8/PT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FinancialFunctions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Mikhail Vashkevich</dc:creator>
  <cp:lastModifiedBy>Mikhail Vashkevich</cp:lastModifiedBy>
  <cp:lastPrinted>2017-11-05T04:32:04Z</cp:lastPrinted>
  <dcterms:created xsi:type="dcterms:W3CDTF">2017-08-25T02:34:34Z</dcterms:created>
  <dcterms:modified xsi:type="dcterms:W3CDTF">2026-07-30T02:13:33Z</dcterms:modified>
</cp:coreProperties>
</file>